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hubham\Downloads\"/>
    </mc:Choice>
  </mc:AlternateContent>
  <xr:revisionPtr revIDLastSave="0" documentId="13_ncr:1_{E71924E4-54C6-48B5-98EC-7E5565A5C1E0}" xr6:coauthVersionLast="47" xr6:coauthVersionMax="47" xr10:uidLastSave="{00000000-0000-0000-0000-000000000000}"/>
  <bookViews>
    <workbookView xWindow="-108" yWindow="-108" windowWidth="23256" windowHeight="12456" xr2:uid="{107CE186-F938-4CB2-830C-4A7CC5C760BA}"/>
  </bookViews>
  <sheets>
    <sheet name="Hotel" sheetId="6" r:id="rId1"/>
    <sheet name="Data" sheetId="2" r:id="rId2"/>
    <sheet name="Invoice" sheetId="3" r:id="rId3"/>
    <sheet name="Analysis" sheetId="8" r:id="rId4"/>
  </sheets>
  <definedNames>
    <definedName name="Additional_Cost">Hotel!$Q$14</definedName>
    <definedName name="Advance">Hotel!$Q$12</definedName>
    <definedName name="Amount">#REF!</definedName>
    <definedName name="Arrival">Hotel!$J$10</definedName>
    <definedName name="Client">#REF!</definedName>
    <definedName name="Days">Hotel!$J$12</definedName>
    <definedName name="Days_Cost">Hotel!$Q$10</definedName>
    <definedName name="Email_Id">Hotel!$Y$8</definedName>
    <definedName name="End">Hotel!$J$14</definedName>
    <definedName name="Home_Address">Hotel!$Y$10</definedName>
    <definedName name="Identity_Proof">Hotel!$Y$16</definedName>
    <definedName name="Lastmodi">Hotel!$AD$14</definedName>
    <definedName name="Name">Hotel!$J$8</definedName>
    <definedName name="pDate">#REF!</definedName>
    <definedName name="Phone_Number">Hotel!$Y$14</definedName>
    <definedName name="Pincode">Hotel!$Y$12</definedName>
    <definedName name="RoomNo">Hotel!$Q$8</definedName>
    <definedName name="Status">Hotel!$J$16</definedName>
    <definedName name="Total">Hotel!$Q$16</definedName>
    <definedName name="UpdateStatus">Hotel!$Z$22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2" i="3" l="1"/>
  <c r="H25" i="3"/>
  <c r="H26" i="3"/>
  <c r="AH14" i="6"/>
  <c r="H36" i="3"/>
  <c r="H31" i="3"/>
  <c r="H30" i="3"/>
  <c r="H29" i="3"/>
  <c r="H28" i="3"/>
  <c r="H27" i="3"/>
  <c r="H24" i="3"/>
  <c r="H23" i="3"/>
  <c r="H32" i="3" l="1"/>
  <c r="H3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Avinash</author>
  </authors>
  <commentList>
    <comment ref="U6" authorId="0" shapeId="0" xr:uid="{7AA80AD9-CE28-4A47-8AC3-FAD8B9B47A9A}">
      <text>
        <r>
          <rPr>
            <b/>
            <sz val="9"/>
            <color indexed="81"/>
            <rFont val="Tahoma"/>
            <family val="2"/>
          </rPr>
          <t>Avinash:</t>
        </r>
        <r>
          <rPr>
            <sz val="9"/>
            <color indexed="81"/>
            <rFont val="Tahoma"/>
            <family val="2"/>
          </rPr>
          <t xml:space="preserve">
Go to the Invoice Sheet to View</t>
        </r>
      </text>
    </comment>
    <comment ref="V6" authorId="0" shapeId="0" xr:uid="{05C226FF-1895-4D4C-A07C-F4B37EE547E1}">
      <text>
        <r>
          <rPr>
            <b/>
            <sz val="9"/>
            <color indexed="81"/>
            <rFont val="Tahoma"/>
            <family val="2"/>
          </rPr>
          <t>Avinash:</t>
        </r>
        <r>
          <rPr>
            <sz val="9"/>
            <color indexed="81"/>
            <rFont val="Tahoma"/>
            <family val="2"/>
          </rPr>
          <t xml:space="preserve">
Go to the Invoice Sheet to View</t>
        </r>
      </text>
    </comment>
    <comment ref="W6" authorId="0" shapeId="0" xr:uid="{40DC3CCD-FA8E-4357-A30D-84C97AA0156C}">
      <text>
        <r>
          <rPr>
            <b/>
            <sz val="9"/>
            <color indexed="81"/>
            <rFont val="Tahoma"/>
            <family val="2"/>
          </rPr>
          <t>Avinash:</t>
        </r>
        <r>
          <rPr>
            <sz val="9"/>
            <color indexed="81"/>
            <rFont val="Tahoma"/>
            <family val="2"/>
          </rPr>
          <t xml:space="preserve">
Go to the Invoice Sheet to View</t>
        </r>
      </text>
    </comment>
    <comment ref="X6" authorId="0" shapeId="0" xr:uid="{646AFFE2-D2AA-4E9C-8FDA-E401C4F14A7F}">
      <text>
        <r>
          <rPr>
            <b/>
            <sz val="9"/>
            <color indexed="81"/>
            <rFont val="Tahoma"/>
            <family val="2"/>
          </rPr>
          <t>Avinash:</t>
        </r>
        <r>
          <rPr>
            <sz val="9"/>
            <color indexed="81"/>
            <rFont val="Tahoma"/>
            <family val="2"/>
          </rPr>
          <t xml:space="preserve">
Go to the Invoice Sheet to View
</t>
        </r>
      </text>
    </comment>
  </commentList>
</comments>
</file>

<file path=xl/sharedStrings.xml><?xml version="1.0" encoding="utf-8"?>
<sst xmlns="http://schemas.openxmlformats.org/spreadsheetml/2006/main" count="106" uniqueCount="70">
  <si>
    <t>Hotel Management System</t>
  </si>
  <si>
    <t>Name:</t>
  </si>
  <si>
    <t>Arrival:</t>
  </si>
  <si>
    <t xml:space="preserve">End: </t>
  </si>
  <si>
    <t>Status:</t>
  </si>
  <si>
    <t xml:space="preserve">E-mail : </t>
  </si>
  <si>
    <t xml:space="preserve">Pincode: </t>
  </si>
  <si>
    <t xml:space="preserve">Home Address: </t>
  </si>
  <si>
    <t>Identity Proof:</t>
  </si>
  <si>
    <t>Phone:</t>
  </si>
  <si>
    <t>Unconfirmed</t>
  </si>
  <si>
    <t>Confirmed</t>
  </si>
  <si>
    <t>Cancelled</t>
  </si>
  <si>
    <t>Paid</t>
  </si>
  <si>
    <t xml:space="preserve">Date: </t>
  </si>
  <si>
    <t>Tuesday</t>
  </si>
  <si>
    <t>Wednesday</t>
  </si>
  <si>
    <t>Thursday</t>
  </si>
  <si>
    <t>Friday</t>
  </si>
  <si>
    <t>Saturday</t>
  </si>
  <si>
    <t>Sunday</t>
  </si>
  <si>
    <t>Monday</t>
  </si>
  <si>
    <t>Advance:</t>
  </si>
  <si>
    <t>Room No:</t>
  </si>
  <si>
    <t>Name</t>
  </si>
  <si>
    <t>Arrival</t>
  </si>
  <si>
    <t>Days</t>
  </si>
  <si>
    <t>End</t>
  </si>
  <si>
    <t>Status</t>
  </si>
  <si>
    <t>Room No</t>
  </si>
  <si>
    <t>Advance</t>
  </si>
  <si>
    <t>Total</t>
  </si>
  <si>
    <t>E-mail Id</t>
  </si>
  <si>
    <t>Home Address</t>
  </si>
  <si>
    <t>Pincode</t>
  </si>
  <si>
    <t>Phone Number</t>
  </si>
  <si>
    <t>Identity Proof</t>
  </si>
  <si>
    <t xml:space="preserve">Last Data Modified: </t>
  </si>
  <si>
    <t>Mon</t>
  </si>
  <si>
    <t>Eve</t>
  </si>
  <si>
    <t xml:space="preserve"> INVOICE</t>
  </si>
  <si>
    <t>BILL TO</t>
  </si>
  <si>
    <t>DESCRIPTION</t>
  </si>
  <si>
    <t>TOTAL</t>
  </si>
  <si>
    <t>Remarks / Payment Instructions:</t>
  </si>
  <si>
    <t>SUBTOTAL</t>
  </si>
  <si>
    <t>DISCOUNT</t>
  </si>
  <si>
    <t>SUBTOTAL LESS DISCOUNT</t>
  </si>
  <si>
    <t>TAX RATE</t>
  </si>
  <si>
    <t>TOTAL TAX</t>
  </si>
  <si>
    <t>test@gmail.com</t>
  </si>
  <si>
    <t>91- 6283167405</t>
  </si>
  <si>
    <t>Hotel Rooms</t>
  </si>
  <si>
    <t>Place</t>
  </si>
  <si>
    <t>AC/Non AC</t>
  </si>
  <si>
    <t>AC/Non</t>
  </si>
  <si>
    <t xml:space="preserve">Invoice Number: </t>
  </si>
  <si>
    <t>Last Data Modified</t>
  </si>
  <si>
    <t>Days:</t>
  </si>
  <si>
    <t>Cost</t>
  </si>
  <si>
    <t xml:space="preserve">Status:  </t>
  </si>
  <si>
    <t xml:space="preserve">Room No:  </t>
  </si>
  <si>
    <t>Checked Out</t>
  </si>
  <si>
    <t>AC</t>
  </si>
  <si>
    <t xml:space="preserve">Amount Left: </t>
  </si>
  <si>
    <t>Amount Left</t>
  </si>
  <si>
    <t>Sanket</t>
  </si>
  <si>
    <t>test@</t>
  </si>
  <si>
    <t>IIT</t>
  </si>
  <si>
    <t xml:space="preserve">  Developed by-  Shubham Sonawane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</si>
</sst>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 [$₹-4009]\ * #,##0.00_ ;_ [$₹-4009]\ * \-#,##0.00_ ;_ [$₹-4009]\ * &quot;-&quot;??_ ;_ @_ "/>
    <numFmt numFmtId="165" formatCode="mmmm\ yyyy"/>
    <numFmt numFmtId="166" formatCode="dd"/>
    <numFmt numFmtId="167" formatCode="dd\ mmmm\ yyyy"/>
    <numFmt numFmtId="168" formatCode="m/d/yyyy"/>
    <numFmt numFmtId="169" formatCode="mm/dd/yy"/>
    <numFmt numFmtId="170" formatCode="_-&quot;$&quot;* #,##0.00_-;\-&quot;$&quot;* #,##0.00_-;_-&quot;$&quot;* &quot;-&quot;??_-;_-@"/>
    <numFmt numFmtId="171" formatCode="dd/mm/yyyy\ hh:mm:ss"/>
  </numFmts>
  <fonts count="39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Bookman Old Style"/>
      <family val="1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0000"/>
      <name val="Roboto"/>
    </font>
    <font>
      <b/>
      <sz val="20"/>
      <color rgb="FFA5A5A5"/>
      <name val="Roboto"/>
    </font>
    <font>
      <b/>
      <sz val="22"/>
      <color rgb="FF4472C4"/>
      <name val="Roboto"/>
    </font>
    <font>
      <sz val="11"/>
      <color rgb="FFFFFFFF"/>
      <name val="Roboto"/>
    </font>
    <font>
      <b/>
      <sz val="9"/>
      <color rgb="FF1F3864"/>
      <name val="Roboto"/>
    </font>
    <font>
      <sz val="10"/>
      <color rgb="FF000000"/>
      <name val="Roboto"/>
    </font>
    <font>
      <sz val="11"/>
      <color rgb="FF0070C0"/>
      <name val="Roboto"/>
    </font>
    <font>
      <i/>
      <sz val="9"/>
      <color rgb="FF333F4F"/>
      <name val="Roboto"/>
    </font>
    <font>
      <sz val="11"/>
      <color rgb="FF1F3864"/>
      <name val="Roboto"/>
    </font>
    <font>
      <b/>
      <sz val="11"/>
      <color rgb="FF1F3864"/>
      <name val="Roboto"/>
    </font>
    <font>
      <b/>
      <sz val="12"/>
      <color rgb="FF1F3864"/>
      <name val="Roboto"/>
    </font>
    <font>
      <u/>
      <sz val="11"/>
      <color theme="10"/>
      <name val="Modern Love"/>
      <family val="5"/>
    </font>
    <font>
      <sz val="16"/>
      <color rgb="FF333F4F"/>
      <name val="Rockwell Condensed"/>
      <family val="1"/>
    </font>
    <font>
      <sz val="24"/>
      <color theme="0"/>
      <name val="Rockwell"/>
      <family val="1"/>
    </font>
    <font>
      <b/>
      <sz val="12"/>
      <color rgb="FF1F3864"/>
      <name val="Rockwell"/>
      <family val="1"/>
    </font>
    <font>
      <sz val="12"/>
      <color rgb="FF000000"/>
      <name val="Rockwell"/>
      <family val="1"/>
    </font>
    <font>
      <sz val="10"/>
      <color rgb="FF000000"/>
      <name val="Rockwell"/>
      <family val="1"/>
    </font>
    <font>
      <b/>
      <sz val="9"/>
      <color rgb="FFFFFFFF"/>
      <name val="Rockwell"/>
      <family val="1"/>
    </font>
    <font>
      <sz val="10"/>
      <name val="Rockwell"/>
      <family val="1"/>
    </font>
    <font>
      <sz val="9"/>
      <color rgb="FF000000"/>
      <name val="Rockwell"/>
      <family val="1"/>
    </font>
    <font>
      <b/>
      <sz val="12"/>
      <color rgb="FF333F4F"/>
      <name val="Rockwell"/>
      <family val="1"/>
    </font>
    <font>
      <b/>
      <sz val="8"/>
      <color rgb="FF333F4F"/>
      <name val="Rockwell"/>
      <family val="1"/>
    </font>
    <font>
      <sz val="11"/>
      <color theme="1"/>
      <name val="Rockwell"/>
      <family val="1"/>
    </font>
    <font>
      <sz val="18"/>
      <color rgb="FF333F4F"/>
      <name val="Rockwell"/>
      <family val="1"/>
    </font>
    <font>
      <b/>
      <sz val="12"/>
      <name val="Rockwell"/>
      <family val="1"/>
    </font>
    <font>
      <sz val="10"/>
      <color rgb="FF000000"/>
      <name val="Rockwall"/>
    </font>
    <font>
      <sz val="12"/>
      <color rgb="FF000000"/>
      <name val="Rockwall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</patternFill>
    </fill>
    <fill>
      <patternFill patternType="solid">
        <fgColor rgb="FF3C78D8"/>
        <bgColor rgb="FF3C78D8"/>
      </patternFill>
    </fill>
    <fill>
      <patternFill patternType="solid">
        <fgColor rgb="FFF3F3F3"/>
        <bgColor rgb="FFF3F3F3"/>
      </patternFill>
    </fill>
    <fill>
      <patternFill patternType="solid">
        <fgColor theme="0"/>
      </patternFill>
    </fill>
    <fill>
      <patternFill patternType="solid">
        <fgColor theme="0"/>
        <bgColor rgb="FF3C78D8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theme="0" tint="-0.24994659260841701"/>
      </right>
      <top style="thin">
        <color theme="1"/>
      </top>
      <bottom style="thin">
        <color theme="0" tint="-0.24994659260841701"/>
      </bottom>
      <diagonal/>
    </border>
    <border>
      <left/>
      <right/>
      <top style="thin">
        <color theme="1"/>
      </top>
      <bottom style="thin">
        <color theme="0" tint="-0.24994659260841701"/>
      </bottom>
      <diagonal/>
    </border>
    <border>
      <left/>
      <right style="thin">
        <color theme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BFBFBF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9" fillId="13" borderId="0" applyNumberFormat="0" applyBorder="0" applyAlignment="0" applyProtection="0"/>
  </cellStyleXfs>
  <cellXfs count="181">
    <xf numFmtId="0" fontId="0" fillId="0" borderId="0" xfId="0"/>
    <xf numFmtId="167" fontId="0" fillId="0" borderId="0" xfId="0" applyNumberFormat="1"/>
    <xf numFmtId="0" fontId="0" fillId="0" borderId="1" xfId="0" applyBorder="1" applyAlignment="1">
      <alignment horizontal="right" vertical="center"/>
    </xf>
    <xf numFmtId="0" fontId="14" fillId="0" borderId="0" xfId="0" applyFont="1" applyAlignment="1">
      <alignment horizontal="left" vertical="center"/>
    </xf>
    <xf numFmtId="0" fontId="18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169" fontId="15" fillId="0" borderId="0" xfId="0" applyNumberFormat="1" applyFont="1" applyAlignment="1">
      <alignment horizontal="center" vertical="center"/>
    </xf>
    <xf numFmtId="14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vertical="center"/>
    </xf>
    <xf numFmtId="0" fontId="9" fillId="16" borderId="0" xfId="2" applyFill="1" applyBorder="1" applyAlignment="1">
      <alignment vertical="center"/>
    </xf>
    <xf numFmtId="0" fontId="11" fillId="17" borderId="0" xfId="0" applyFont="1" applyFill="1" applyAlignment="1">
      <alignment vertical="center"/>
    </xf>
    <xf numFmtId="0" fontId="12" fillId="17" borderId="0" xfId="0" applyFont="1" applyFill="1" applyAlignment="1">
      <alignment vertical="center"/>
    </xf>
    <xf numFmtId="0" fontId="12" fillId="17" borderId="0" xfId="0" applyFont="1" applyFill="1" applyAlignment="1">
      <alignment horizontal="right" vertical="center"/>
    </xf>
    <xf numFmtId="0" fontId="9" fillId="16" borderId="0" xfId="2" applyFill="1" applyBorder="1" applyAlignment="1">
      <alignment horizontal="right" vertical="center"/>
    </xf>
    <xf numFmtId="0" fontId="11" fillId="7" borderId="0" xfId="0" applyFont="1" applyFill="1" applyAlignment="1">
      <alignment vertical="center"/>
    </xf>
    <xf numFmtId="0" fontId="12" fillId="7" borderId="0" xfId="0" applyFont="1" applyFill="1" applyAlignment="1">
      <alignment vertical="center"/>
    </xf>
    <xf numFmtId="0" fontId="12" fillId="7" borderId="0" xfId="0" applyFont="1" applyFill="1" applyAlignment="1">
      <alignment horizontal="right" vertical="center"/>
    </xf>
    <xf numFmtId="0" fontId="9" fillId="13" borderId="13" xfId="2" applyBorder="1" applyAlignment="1">
      <alignment vertical="center"/>
    </xf>
    <xf numFmtId="0" fontId="9" fillId="13" borderId="13" xfId="2" applyBorder="1"/>
    <xf numFmtId="0" fontId="9" fillId="13" borderId="13" xfId="2" applyBorder="1" applyAlignment="1">
      <alignment horizontal="center" vertical="center"/>
    </xf>
    <xf numFmtId="0" fontId="9" fillId="13" borderId="21" xfId="2" applyBorder="1"/>
    <xf numFmtId="0" fontId="9" fillId="13" borderId="14" xfId="2" applyBorder="1"/>
    <xf numFmtId="0" fontId="9" fillId="13" borderId="1" xfId="2" applyBorder="1"/>
    <xf numFmtId="0" fontId="9" fillId="13" borderId="21" xfId="2" applyBorder="1" applyAlignment="1">
      <alignment horizontal="right" vertical="center" wrapText="1"/>
    </xf>
    <xf numFmtId="0" fontId="9" fillId="13" borderId="14" xfId="2" applyBorder="1" applyAlignment="1">
      <alignment horizontal="center" vertical="center"/>
    </xf>
    <xf numFmtId="14" fontId="9" fillId="13" borderId="14" xfId="2" applyNumberFormat="1" applyBorder="1" applyAlignment="1">
      <alignment horizontal="center" vertical="center"/>
    </xf>
    <xf numFmtId="0" fontId="9" fillId="13" borderId="14" xfId="2" applyBorder="1" applyAlignment="1">
      <alignment horizontal="right" vertical="top"/>
    </xf>
    <xf numFmtId="0" fontId="9" fillId="13" borderId="14" xfId="2" applyBorder="1" applyAlignment="1">
      <alignment vertical="center"/>
    </xf>
    <xf numFmtId="0" fontId="9" fillId="13" borderId="14" xfId="2" applyBorder="1" applyAlignment="1">
      <alignment horizontal="left" vertical="center"/>
    </xf>
    <xf numFmtId="2" fontId="9" fillId="13" borderId="14" xfId="2" applyNumberFormat="1" applyBorder="1" applyAlignment="1">
      <alignment horizontal="right" vertical="center"/>
    </xf>
    <xf numFmtId="2" fontId="9" fillId="13" borderId="14" xfId="2" applyNumberFormat="1" applyBorder="1" applyAlignment="1">
      <alignment vertical="center"/>
    </xf>
    <xf numFmtId="10" fontId="9" fillId="13" borderId="14" xfId="2" applyNumberFormat="1" applyBorder="1" applyAlignment="1">
      <alignment vertical="center"/>
    </xf>
    <xf numFmtId="4" fontId="9" fillId="13" borderId="14" xfId="2" applyNumberFormat="1" applyBorder="1" applyAlignment="1">
      <alignment vertical="center"/>
    </xf>
    <xf numFmtId="170" fontId="9" fillId="13" borderId="14" xfId="2" applyNumberFormat="1" applyBorder="1" applyAlignment="1">
      <alignment vertical="center"/>
    </xf>
    <xf numFmtId="0" fontId="21" fillId="0" borderId="0" xfId="1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4" fillId="0" borderId="26" xfId="0" applyFont="1" applyBorder="1" applyAlignment="1">
      <alignment horizontal="left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0" fontId="27" fillId="14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2" fontId="29" fillId="0" borderId="1" xfId="0" applyNumberFormat="1" applyFont="1" applyBorder="1" applyAlignment="1">
      <alignment horizontal="right" vertical="center"/>
    </xf>
    <xf numFmtId="0" fontId="29" fillId="15" borderId="1" xfId="0" applyFont="1" applyFill="1" applyBorder="1" applyAlignment="1">
      <alignment horizontal="center" vertical="center"/>
    </xf>
    <xf numFmtId="2" fontId="29" fillId="15" borderId="1" xfId="0" applyNumberFormat="1" applyFont="1" applyFill="1" applyBorder="1" applyAlignment="1">
      <alignment horizontal="right" vertical="center"/>
    </xf>
    <xf numFmtId="0" fontId="29" fillId="0" borderId="0" xfId="0" applyFont="1" applyAlignment="1">
      <alignment vertical="center" wrapText="1"/>
    </xf>
    <xf numFmtId="0" fontId="26" fillId="0" borderId="0" xfId="0" applyFont="1" applyAlignment="1">
      <alignment vertical="center" wrapText="1"/>
    </xf>
    <xf numFmtId="0" fontId="30" fillId="0" borderId="0" xfId="0" applyFont="1" applyAlignment="1">
      <alignment horizontal="right"/>
    </xf>
    <xf numFmtId="0" fontId="31" fillId="0" borderId="22" xfId="0" applyFont="1" applyBorder="1" applyAlignment="1">
      <alignment horizontal="right" vertical="center"/>
    </xf>
    <xf numFmtId="0" fontId="31" fillId="0" borderId="1" xfId="0" applyFont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7" fillId="0" borderId="0" xfId="0" applyFont="1" applyAlignment="1">
      <alignment vertical="top"/>
    </xf>
    <xf numFmtId="0" fontId="36" fillId="0" borderId="0" xfId="0" applyFont="1" applyAlignment="1">
      <alignment vertical="center"/>
    </xf>
    <xf numFmtId="0" fontId="35" fillId="0" borderId="0" xfId="0" applyFont="1" applyAlignment="1">
      <alignment horizontal="right" vertical="center"/>
    </xf>
    <xf numFmtId="0" fontId="19" fillId="0" borderId="26" xfId="0" applyFont="1" applyBorder="1" applyAlignment="1">
      <alignment horizontal="center" vertical="center"/>
    </xf>
    <xf numFmtId="168" fontId="20" fillId="0" borderId="26" xfId="0" applyNumberFormat="1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3" fillId="13" borderId="13" xfId="2" applyFont="1" applyBorder="1"/>
    <xf numFmtId="0" fontId="32" fillId="0" borderId="0" xfId="0" applyFont="1"/>
    <xf numFmtId="14" fontId="35" fillId="0" borderId="0" xfId="0" applyNumberFormat="1" applyFont="1" applyAlignment="1">
      <alignment horizontal="right" vertical="center"/>
    </xf>
    <xf numFmtId="14" fontId="29" fillId="0" borderId="1" xfId="0" applyNumberFormat="1" applyFont="1" applyBorder="1" applyAlignment="1">
      <alignment horizontal="center" vertical="center"/>
    </xf>
    <xf numFmtId="14" fontId="29" fillId="15" borderId="1" xfId="0" applyNumberFormat="1" applyFont="1" applyFill="1" applyBorder="1" applyAlignment="1">
      <alignment horizontal="center" vertical="center"/>
    </xf>
    <xf numFmtId="10" fontId="29" fillId="0" borderId="1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1" applyAlignment="1">
      <alignment horizontal="center"/>
    </xf>
    <xf numFmtId="2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0" fillId="0" borderId="0" xfId="0" applyProtection="1">
      <protection locked="0"/>
    </xf>
    <xf numFmtId="14" fontId="0" fillId="5" borderId="1" xfId="0" applyNumberFormat="1" applyFill="1" applyBorder="1" applyProtection="1">
      <protection locked="0"/>
    </xf>
    <xf numFmtId="0" fontId="0" fillId="5" borderId="13" xfId="0" applyFill="1" applyBorder="1" applyProtection="1">
      <protection locked="0"/>
    </xf>
    <xf numFmtId="14" fontId="0" fillId="5" borderId="13" xfId="0" applyNumberFormat="1" applyFill="1" applyBorder="1" applyProtection="1">
      <protection locked="0"/>
    </xf>
    <xf numFmtId="0" fontId="0" fillId="5" borderId="1" xfId="0" applyFill="1" applyBorder="1" applyProtection="1">
      <protection locked="0"/>
    </xf>
    <xf numFmtId="14" fontId="0" fillId="5" borderId="14" xfId="0" applyNumberFormat="1" applyFill="1" applyBorder="1" applyProtection="1">
      <protection locked="0"/>
    </xf>
    <xf numFmtId="0" fontId="0" fillId="4" borderId="0" xfId="0" applyFill="1" applyProtection="1">
      <protection locked="0"/>
    </xf>
    <xf numFmtId="14" fontId="0" fillId="4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0" fillId="5" borderId="14" xfId="0" applyFill="1" applyBorder="1" applyProtection="1">
      <protection locked="0"/>
    </xf>
    <xf numFmtId="0" fontId="1" fillId="5" borderId="14" xfId="0" applyFont="1" applyFill="1" applyBorder="1" applyProtection="1">
      <protection locked="0"/>
    </xf>
    <xf numFmtId="0" fontId="1" fillId="3" borderId="0" xfId="0" applyFont="1" applyFill="1" applyProtection="1">
      <protection locked="0"/>
    </xf>
    <xf numFmtId="0" fontId="1" fillId="7" borderId="0" xfId="0" applyFont="1" applyFill="1" applyProtection="1">
      <protection locked="0"/>
    </xf>
    <xf numFmtId="0" fontId="0" fillId="6" borderId="0" xfId="0" applyFill="1" applyProtection="1">
      <protection locked="0"/>
    </xf>
    <xf numFmtId="0" fontId="0" fillId="6" borderId="0" xfId="0" applyFill="1" applyAlignment="1" applyProtection="1">
      <alignment vertical="center"/>
      <protection locked="0"/>
    </xf>
    <xf numFmtId="0" fontId="0" fillId="6" borderId="0" xfId="0" applyFill="1" applyAlignment="1" applyProtection="1">
      <alignment horizontal="right" indent="86"/>
      <protection locked="0"/>
    </xf>
    <xf numFmtId="0" fontId="0" fillId="6" borderId="0" xfId="0" applyFill="1" applyAlignment="1" applyProtection="1">
      <alignment horizontal="right" indent="4"/>
      <protection locked="0"/>
    </xf>
    <xf numFmtId="0" fontId="0" fillId="7" borderId="0" xfId="0" applyFill="1" applyProtection="1"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horizontal="left"/>
      <protection locked="0"/>
    </xf>
    <xf numFmtId="0" fontId="3" fillId="6" borderId="0" xfId="0" applyFont="1" applyFill="1" applyAlignment="1" applyProtection="1">
      <alignment horizontal="left"/>
      <protection locked="0"/>
    </xf>
    <xf numFmtId="0" fontId="3" fillId="6" borderId="0" xfId="0" applyFont="1" applyFill="1" applyAlignment="1" applyProtection="1">
      <alignment horizontal="right" indent="4"/>
      <protection locked="0"/>
    </xf>
    <xf numFmtId="0" fontId="4" fillId="7" borderId="0" xfId="0" applyFont="1" applyFill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4" fillId="7" borderId="0" xfId="0" applyFont="1" applyFill="1" applyProtection="1">
      <protection locked="0"/>
    </xf>
    <xf numFmtId="0" fontId="3" fillId="6" borderId="0" xfId="0" applyFont="1" applyFill="1" applyAlignment="1" applyProtection="1">
      <alignment horizontal="right" indent="6"/>
      <protection locked="0"/>
    </xf>
    <xf numFmtId="0" fontId="0" fillId="6" borderId="0" xfId="0" applyFill="1" applyAlignment="1" applyProtection="1">
      <alignment horizontal="left" indent="8"/>
      <protection locked="0"/>
    </xf>
    <xf numFmtId="22" fontId="0" fillId="6" borderId="0" xfId="0" applyNumberFormat="1" applyFill="1" applyProtection="1">
      <protection locked="0"/>
    </xf>
    <xf numFmtId="22" fontId="0" fillId="6" borderId="0" xfId="0" applyNumberFormat="1" applyFill="1" applyAlignment="1" applyProtection="1">
      <alignment horizontal="left" indent="32"/>
      <protection locked="0"/>
    </xf>
    <xf numFmtId="171" fontId="0" fillId="0" borderId="0" xfId="0" applyNumberFormat="1" applyProtection="1">
      <protection locked="0"/>
    </xf>
    <xf numFmtId="0" fontId="0" fillId="3" borderId="0" xfId="0" applyFill="1" applyProtection="1">
      <protection locked="0"/>
    </xf>
    <xf numFmtId="0" fontId="5" fillId="12" borderId="25" xfId="0" applyFont="1" applyFill="1" applyBorder="1" applyAlignment="1" applyProtection="1">
      <alignment horizontal="left" vertical="center" indent="5"/>
      <protection locked="0"/>
    </xf>
    <xf numFmtId="0" fontId="5" fillId="12" borderId="20" xfId="0" applyFont="1" applyFill="1" applyBorder="1" applyAlignment="1" applyProtection="1">
      <alignment vertical="center"/>
      <protection locked="0"/>
    </xf>
    <xf numFmtId="0" fontId="5" fillId="12" borderId="13" xfId="0" applyFont="1" applyFill="1" applyBorder="1" applyAlignment="1" applyProtection="1">
      <alignment horizontal="left" vertical="center" indent="4"/>
      <protection locked="0"/>
    </xf>
    <xf numFmtId="0" fontId="5" fillId="12" borderId="13" xfId="0" applyFont="1" applyFill="1" applyBorder="1" applyAlignment="1" applyProtection="1">
      <alignment horizontal="left" vertical="center" indent="5"/>
      <protection locked="0"/>
    </xf>
    <xf numFmtId="165" fontId="0" fillId="0" borderId="17" xfId="0" applyNumberForma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5" fillId="7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locked="0"/>
    </xf>
    <xf numFmtId="166" fontId="0" fillId="0" borderId="2" xfId="0" applyNumberFormat="1" applyBorder="1" applyProtection="1">
      <protection locked="0"/>
    </xf>
    <xf numFmtId="166" fontId="5" fillId="0" borderId="4" xfId="0" applyNumberFormat="1" applyFont="1" applyBorder="1" applyProtection="1">
      <protection locked="0"/>
    </xf>
    <xf numFmtId="166" fontId="5" fillId="0" borderId="2" xfId="0" applyNumberFormat="1" applyFont="1" applyBorder="1" applyProtection="1">
      <protection locked="0"/>
    </xf>
    <xf numFmtId="166" fontId="5" fillId="0" borderId="0" xfId="0" applyNumberFormat="1" applyFont="1" applyProtection="1">
      <protection locked="0"/>
    </xf>
    <xf numFmtId="166" fontId="0" fillId="0" borderId="5" xfId="0" applyNumberFormat="1" applyBorder="1" applyProtection="1">
      <protection locked="0"/>
    </xf>
    <xf numFmtId="166" fontId="5" fillId="0" borderId="6" xfId="0" applyNumberFormat="1" applyFont="1" applyBorder="1" applyProtection="1">
      <protection locked="0"/>
    </xf>
    <xf numFmtId="166" fontId="5" fillId="0" borderId="5" xfId="0" applyNumberFormat="1" applyFont="1" applyBorder="1" applyProtection="1">
      <protection locked="0"/>
    </xf>
    <xf numFmtId="166" fontId="5" fillId="7" borderId="6" xfId="0" applyNumberFormat="1" applyFont="1" applyFill="1" applyBorder="1" applyProtection="1">
      <protection locked="0"/>
    </xf>
    <xf numFmtId="166" fontId="5" fillId="7" borderId="5" xfId="0" applyNumberFormat="1" applyFont="1" applyFill="1" applyBorder="1" applyProtection="1">
      <protection locked="0"/>
    </xf>
    <xf numFmtId="166" fontId="0" fillId="0" borderId="7" xfId="0" applyNumberFormat="1" applyBorder="1" applyProtection="1">
      <protection locked="0"/>
    </xf>
    <xf numFmtId="166" fontId="5" fillId="0" borderId="9" xfId="0" applyNumberFormat="1" applyFont="1" applyBorder="1" applyProtection="1">
      <protection locked="0"/>
    </xf>
    <xf numFmtId="166" fontId="5" fillId="0" borderId="7" xfId="0" applyNumberFormat="1" applyFont="1" applyBorder="1" applyProtection="1">
      <protection locked="0"/>
    </xf>
    <xf numFmtId="0" fontId="0" fillId="5" borderId="21" xfId="0" applyFill="1" applyBorder="1" applyProtection="1">
      <protection locked="0"/>
    </xf>
    <xf numFmtId="166" fontId="5" fillId="0" borderId="3" xfId="0" applyNumberFormat="1" applyFont="1" applyBorder="1" applyProtection="1">
      <protection locked="0"/>
    </xf>
    <xf numFmtId="0" fontId="0" fillId="5" borderId="22" xfId="0" applyFill="1" applyBorder="1" applyProtection="1">
      <protection locked="0"/>
    </xf>
    <xf numFmtId="166" fontId="0" fillId="0" borderId="9" xfId="0" applyNumberFormat="1" applyBorder="1" applyProtection="1">
      <protection locked="0"/>
    </xf>
    <xf numFmtId="166" fontId="0" fillId="0" borderId="8" xfId="0" applyNumberFormat="1" applyBorder="1" applyProtection="1">
      <protection locked="0"/>
    </xf>
    <xf numFmtId="166" fontId="0" fillId="0" borderId="0" xfId="0" applyNumberFormat="1" applyProtection="1">
      <protection locked="0"/>
    </xf>
    <xf numFmtId="166" fontId="0" fillId="5" borderId="13" xfId="0" applyNumberFormat="1" applyFill="1" applyBorder="1" applyProtection="1">
      <protection locked="0"/>
    </xf>
    <xf numFmtId="0" fontId="0" fillId="7" borderId="1" xfId="0" applyFill="1" applyBorder="1" applyAlignment="1" applyProtection="1">
      <alignment horizontal="right" vertical="center"/>
      <protection locked="0"/>
    </xf>
    <xf numFmtId="0" fontId="0" fillId="7" borderId="15" xfId="0" applyFill="1" applyBorder="1" applyAlignment="1" applyProtection="1">
      <alignment horizontal="center" vertical="center"/>
      <protection locked="0"/>
    </xf>
    <xf numFmtId="0" fontId="0" fillId="7" borderId="16" xfId="0" applyFill="1" applyBorder="1" applyAlignment="1" applyProtection="1">
      <alignment horizontal="center" vertical="center"/>
      <protection locked="0"/>
    </xf>
    <xf numFmtId="0" fontId="0" fillId="6" borderId="0" xfId="0" applyFill="1" applyAlignment="1" applyProtection="1">
      <alignment horizontal="left"/>
      <protection locked="0"/>
    </xf>
    <xf numFmtId="0" fontId="0" fillId="6" borderId="19" xfId="0" applyFill="1" applyBorder="1" applyAlignment="1" applyProtection="1">
      <alignment horizontal="left"/>
      <protection locked="0"/>
    </xf>
    <xf numFmtId="0" fontId="0" fillId="7" borderId="0" xfId="0" applyFill="1" applyAlignment="1" applyProtection="1">
      <alignment horizontal="center"/>
      <protection locked="0"/>
    </xf>
    <xf numFmtId="22" fontId="8" fillId="6" borderId="0" xfId="0" applyNumberFormat="1" applyFont="1" applyFill="1" applyAlignment="1" applyProtection="1">
      <alignment horizontal="left" indent="2"/>
      <protection locked="0"/>
    </xf>
    <xf numFmtId="22" fontId="8" fillId="6" borderId="6" xfId="0" applyNumberFormat="1" applyFont="1" applyFill="1" applyBorder="1" applyAlignment="1" applyProtection="1">
      <alignment horizontal="left" indent="2"/>
      <protection locked="0"/>
    </xf>
    <xf numFmtId="0" fontId="0" fillId="7" borderId="15" xfId="0" applyFill="1" applyBorder="1" applyAlignment="1" applyProtection="1">
      <alignment horizontal="center"/>
      <protection locked="0"/>
    </xf>
    <xf numFmtId="0" fontId="0" fillId="7" borderId="16" xfId="0" applyFill="1" applyBorder="1" applyAlignment="1" applyProtection="1">
      <alignment horizontal="center"/>
      <protection locked="0"/>
    </xf>
    <xf numFmtId="164" fontId="0" fillId="7" borderId="15" xfId="0" applyNumberFormat="1" applyFill="1" applyBorder="1" applyAlignment="1" applyProtection="1">
      <alignment horizontal="center" vertical="center"/>
      <protection locked="0"/>
    </xf>
    <xf numFmtId="164" fontId="0" fillId="7" borderId="16" xfId="0" applyNumberFormat="1" applyFill="1" applyBorder="1" applyAlignment="1" applyProtection="1">
      <alignment horizontal="center" vertical="center"/>
      <protection locked="0"/>
    </xf>
    <xf numFmtId="0" fontId="4" fillId="7" borderId="15" xfId="1" applyFont="1" applyFill="1" applyBorder="1" applyAlignment="1" applyProtection="1">
      <alignment horizontal="center" vertical="center"/>
      <protection locked="0"/>
    </xf>
    <xf numFmtId="0" fontId="4" fillId="7" borderId="18" xfId="1" applyFont="1" applyFill="1" applyBorder="1" applyAlignment="1" applyProtection="1">
      <alignment horizontal="center" vertical="center"/>
      <protection locked="0"/>
    </xf>
    <xf numFmtId="0" fontId="4" fillId="7" borderId="16" xfId="1" applyFont="1" applyFill="1" applyBorder="1" applyAlignment="1" applyProtection="1">
      <alignment horizontal="center" vertical="center"/>
      <protection locked="0"/>
    </xf>
    <xf numFmtId="0" fontId="0" fillId="10" borderId="25" xfId="0" applyFill="1" applyBorder="1" applyAlignment="1" applyProtection="1">
      <alignment horizontal="center"/>
      <protection locked="0"/>
    </xf>
    <xf numFmtId="0" fontId="0" fillId="10" borderId="20" xfId="0" applyFill="1" applyBorder="1" applyAlignment="1" applyProtection="1">
      <alignment horizontal="center"/>
      <protection locked="0"/>
    </xf>
    <xf numFmtId="14" fontId="0" fillId="7" borderId="15" xfId="0" applyNumberFormat="1" applyFill="1" applyBorder="1" applyAlignment="1" applyProtection="1">
      <alignment horizontal="center"/>
      <protection locked="0"/>
    </xf>
    <xf numFmtId="0" fontId="0" fillId="7" borderId="25" xfId="0" applyFill="1" applyBorder="1" applyAlignment="1" applyProtection="1">
      <alignment horizontal="center"/>
      <protection locked="0"/>
    </xf>
    <xf numFmtId="0" fontId="0" fillId="7" borderId="20" xfId="0" applyFill="1" applyBorder="1" applyAlignment="1" applyProtection="1">
      <alignment horizontal="center"/>
      <protection locked="0"/>
    </xf>
    <xf numFmtId="0" fontId="0" fillId="9" borderId="25" xfId="0" applyFill="1" applyBorder="1" applyAlignment="1" applyProtection="1">
      <alignment horizontal="center"/>
      <protection locked="0"/>
    </xf>
    <xf numFmtId="0" fontId="0" fillId="9" borderId="20" xfId="0" applyFill="1" applyBorder="1" applyAlignment="1" applyProtection="1">
      <alignment horizontal="center"/>
      <protection locked="0"/>
    </xf>
    <xf numFmtId="0" fontId="0" fillId="4" borderId="25" xfId="0" applyFill="1" applyBorder="1" applyAlignment="1" applyProtection="1">
      <alignment horizontal="center"/>
      <protection locked="0"/>
    </xf>
    <xf numFmtId="0" fontId="0" fillId="4" borderId="13" xfId="0" applyFill="1" applyBorder="1" applyAlignment="1" applyProtection="1">
      <alignment horizontal="center"/>
      <protection locked="0"/>
    </xf>
    <xf numFmtId="0" fontId="0" fillId="4" borderId="20" xfId="0" applyFill="1" applyBorder="1" applyAlignment="1" applyProtection="1">
      <alignment horizontal="center"/>
      <protection locked="0"/>
    </xf>
    <xf numFmtId="0" fontId="2" fillId="2" borderId="23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24" xfId="0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2" fillId="2" borderId="11" xfId="0" applyFont="1" applyFill="1" applyBorder="1" applyAlignment="1" applyProtection="1">
      <alignment horizontal="center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/>
      <protection locked="0"/>
    </xf>
    <xf numFmtId="0" fontId="0" fillId="11" borderId="20" xfId="0" applyFill="1" applyBorder="1" applyAlignment="1" applyProtection="1">
      <alignment horizontal="center"/>
      <protection locked="0"/>
    </xf>
    <xf numFmtId="0" fontId="6" fillId="7" borderId="15" xfId="1" applyFill="1" applyBorder="1" applyAlignment="1" applyProtection="1">
      <alignment horizontal="center" vertical="center"/>
      <protection locked="0"/>
    </xf>
    <xf numFmtId="0" fontId="6" fillId="7" borderId="18" xfId="1" applyFill="1" applyBorder="1" applyAlignment="1" applyProtection="1">
      <alignment horizontal="center" vertical="center"/>
      <protection locked="0"/>
    </xf>
    <xf numFmtId="0" fontId="6" fillId="7" borderId="16" xfId="1" applyFill="1" applyBorder="1" applyAlignment="1" applyProtection="1">
      <alignment horizontal="center" vertical="center"/>
      <protection locked="0"/>
    </xf>
    <xf numFmtId="0" fontId="0" fillId="8" borderId="25" xfId="0" applyFill="1" applyBorder="1" applyAlignment="1" applyProtection="1">
      <alignment horizontal="center"/>
      <protection locked="0"/>
    </xf>
    <xf numFmtId="0" fontId="0" fillId="8" borderId="20" xfId="0" applyFill="1" applyBorder="1" applyAlignment="1" applyProtection="1">
      <alignment horizontal="center"/>
      <protection locked="0"/>
    </xf>
    <xf numFmtId="0" fontId="30" fillId="0" borderId="21" xfId="0" applyFont="1" applyBorder="1" applyAlignment="1">
      <alignment horizontal="center" vertical="center"/>
    </xf>
    <xf numFmtId="0" fontId="30" fillId="0" borderId="22" xfId="0" applyFont="1" applyBorder="1" applyAlignment="1">
      <alignment horizontal="center" vertical="center"/>
    </xf>
    <xf numFmtId="164" fontId="34" fillId="0" borderId="1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32" fillId="0" borderId="0" xfId="0" applyFont="1"/>
    <xf numFmtId="0" fontId="33" fillId="0" borderId="0" xfId="0" applyFont="1" applyAlignment="1">
      <alignment horizontal="center" vertical="center"/>
    </xf>
    <xf numFmtId="0" fontId="23" fillId="13" borderId="13" xfId="2" applyFont="1" applyBorder="1" applyAlignment="1">
      <alignment horizontal="left" vertical="center" wrapText="1"/>
    </xf>
    <xf numFmtId="0" fontId="23" fillId="13" borderId="13" xfId="2" applyFont="1" applyBorder="1"/>
    <xf numFmtId="0" fontId="27" fillId="14" borderId="1" xfId="0" applyFont="1" applyFill="1" applyBorder="1" applyAlignment="1">
      <alignment horizontal="center" vertical="center"/>
    </xf>
    <xf numFmtId="0" fontId="28" fillId="0" borderId="1" xfId="0" applyFont="1" applyBorder="1"/>
  </cellXfs>
  <cellStyles count="3">
    <cellStyle name="Accent1" xfId="2" builtinId="29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33CC33"/>
      <color rgb="FFCBAE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hyperlink" Target="#Data!A1"/><Relationship Id="rId1" Type="http://schemas.openxmlformats.org/officeDocument/2006/relationships/hyperlink" Target="#Analysis!A1"/><Relationship Id="rId4" Type="http://schemas.openxmlformats.org/officeDocument/2006/relationships/image" Target="../media/image2.gif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578302</xdr:colOff>
      <xdr:row>4</xdr:row>
      <xdr:rowOff>31729</xdr:rowOff>
    </xdr:from>
    <xdr:to>
      <xdr:col>19</xdr:col>
      <xdr:colOff>68035</xdr:colOff>
      <xdr:row>6</xdr:row>
      <xdr:rowOff>0</xdr:rowOff>
    </xdr:to>
    <xdr:sp macro="[0]!AddNewData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4605480-4C54-4F05-8452-83D3EE678037}"/>
            </a:ext>
          </a:extLst>
        </xdr:cNvPr>
        <xdr:cNvSpPr/>
      </xdr:nvSpPr>
      <xdr:spPr>
        <a:xfrm>
          <a:off x="10091963" y="553336"/>
          <a:ext cx="1394733" cy="331128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Analysis</a:t>
          </a:r>
        </a:p>
      </xdr:txBody>
    </xdr:sp>
    <xdr:clientData/>
  </xdr:twoCellAnchor>
  <xdr:twoCellAnchor>
    <xdr:from>
      <xdr:col>19</xdr:col>
      <xdr:colOff>569185</xdr:colOff>
      <xdr:row>4</xdr:row>
      <xdr:rowOff>21405</xdr:rowOff>
    </xdr:from>
    <xdr:to>
      <xdr:col>24</xdr:col>
      <xdr:colOff>42809</xdr:colOff>
      <xdr:row>5</xdr:row>
      <xdr:rowOff>296097</xdr:rowOff>
    </xdr:to>
    <xdr:sp macro="[0]!Invoice.Invoic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1B921D6-C5DE-4D1F-A39F-0C5FAB79E81A}"/>
            </a:ext>
          </a:extLst>
        </xdr:cNvPr>
        <xdr:cNvSpPr/>
      </xdr:nvSpPr>
      <xdr:spPr>
        <a:xfrm>
          <a:off x="12127612" y="545815"/>
          <a:ext cx="1121770" cy="317501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Invoice</a:t>
          </a:r>
        </a:p>
      </xdr:txBody>
    </xdr:sp>
    <xdr:clientData/>
  </xdr:twoCellAnchor>
  <xdr:twoCellAnchor>
    <xdr:from>
      <xdr:col>14</xdr:col>
      <xdr:colOff>1</xdr:colOff>
      <xdr:row>5</xdr:row>
      <xdr:rowOff>1903</xdr:rowOff>
    </xdr:from>
    <xdr:to>
      <xdr:col>16</xdr:col>
      <xdr:colOff>181428</xdr:colOff>
      <xdr:row>6</xdr:row>
      <xdr:rowOff>0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0AC0435-501B-4B35-987E-3AE3D33A210B}"/>
            </a:ext>
          </a:extLst>
        </xdr:cNvPr>
        <xdr:cNvSpPr/>
      </xdr:nvSpPr>
      <xdr:spPr>
        <a:xfrm>
          <a:off x="8379733" y="557528"/>
          <a:ext cx="1315356" cy="326936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Old</a:t>
          </a:r>
          <a:r>
            <a:rPr lang="en-IN" sz="1100" b="1" baseline="0"/>
            <a:t> Bookings</a:t>
          </a:r>
          <a:endParaRPr lang="en-IN" sz="1100" b="1"/>
        </a:p>
      </xdr:txBody>
    </xdr:sp>
    <xdr:clientData/>
  </xdr:twoCellAnchor>
  <xdr:twoCellAnchor editAs="oneCell">
    <xdr:from>
      <xdr:col>2</xdr:col>
      <xdr:colOff>26926</xdr:colOff>
      <xdr:row>7</xdr:row>
      <xdr:rowOff>19440</xdr:rowOff>
    </xdr:from>
    <xdr:to>
      <xdr:col>3</xdr:col>
      <xdr:colOff>599325</xdr:colOff>
      <xdr:row>15</xdr:row>
      <xdr:rowOff>160534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56FF72-737A-4F96-9621-15191FD4A5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931" r="10283" b="7679"/>
        <a:stretch/>
      </xdr:blipFill>
      <xdr:spPr>
        <a:xfrm>
          <a:off x="741301" y="905265"/>
          <a:ext cx="1181999" cy="1122169"/>
        </a:xfrm>
        <a:prstGeom prst="rect">
          <a:avLst/>
        </a:prstGeom>
      </xdr:spPr>
    </xdr:pic>
    <xdr:clientData/>
  </xdr:twoCellAnchor>
  <xdr:twoCellAnchor>
    <xdr:from>
      <xdr:col>28</xdr:col>
      <xdr:colOff>559029</xdr:colOff>
      <xdr:row>7</xdr:row>
      <xdr:rowOff>94716</xdr:rowOff>
    </xdr:from>
    <xdr:to>
      <xdr:col>31</xdr:col>
      <xdr:colOff>339618</xdr:colOff>
      <xdr:row>9</xdr:row>
      <xdr:rowOff>125185</xdr:rowOff>
    </xdr:to>
    <xdr:sp macro="[0]!AddNew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3AFC9299-49C7-41F0-B71D-0F83A7BE4C44}"/>
            </a:ext>
          </a:extLst>
        </xdr:cNvPr>
        <xdr:cNvSpPr/>
      </xdr:nvSpPr>
      <xdr:spPr>
        <a:xfrm>
          <a:off x="16096045" y="985764"/>
          <a:ext cx="1624138" cy="276276"/>
        </a:xfrm>
        <a:prstGeom prst="roundRect">
          <a:avLst/>
        </a:prstGeom>
        <a:solidFill>
          <a:schemeClr val="bg2">
            <a:lumMod val="25000"/>
          </a:schemeClr>
        </a:solidFill>
        <a:ln w="57150"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Submit</a:t>
          </a:r>
        </a:p>
      </xdr:txBody>
    </xdr:sp>
    <xdr:clientData/>
  </xdr:twoCellAnchor>
  <xdr:twoCellAnchor>
    <xdr:from>
      <xdr:col>3</xdr:col>
      <xdr:colOff>582083</xdr:colOff>
      <xdr:row>21</xdr:row>
      <xdr:rowOff>10583</xdr:rowOff>
    </xdr:from>
    <xdr:to>
      <xdr:col>5</xdr:col>
      <xdr:colOff>21165</xdr:colOff>
      <xdr:row>22</xdr:row>
      <xdr:rowOff>122516</xdr:rowOff>
    </xdr:to>
    <xdr:sp macro="[0]!CreateCalenda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4346C571-576D-4989-B7A2-63920FF07C75}"/>
            </a:ext>
          </a:extLst>
        </xdr:cNvPr>
        <xdr:cNvSpPr/>
      </xdr:nvSpPr>
      <xdr:spPr>
        <a:xfrm>
          <a:off x="1915583" y="2794000"/>
          <a:ext cx="1015999" cy="302433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View</a:t>
          </a:r>
          <a:endParaRPr lang="en-IN" sz="1100" b="1"/>
        </a:p>
      </xdr:txBody>
    </xdr:sp>
    <xdr:clientData/>
  </xdr:twoCellAnchor>
  <xdr:twoCellAnchor>
    <xdr:from>
      <xdr:col>28</xdr:col>
      <xdr:colOff>345755</xdr:colOff>
      <xdr:row>18</xdr:row>
      <xdr:rowOff>210621</xdr:rowOff>
    </xdr:from>
    <xdr:to>
      <xdr:col>30</xdr:col>
      <xdr:colOff>431801</xdr:colOff>
      <xdr:row>20</xdr:row>
      <xdr:rowOff>139700</xdr:rowOff>
    </xdr:to>
    <xdr:sp macro="[0]!updateroom.updateroom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AA0767B-11C8-4F9D-B4C3-E4E5B8543200}"/>
            </a:ext>
          </a:extLst>
        </xdr:cNvPr>
        <xdr:cNvSpPr/>
      </xdr:nvSpPr>
      <xdr:spPr>
        <a:xfrm>
          <a:off x="15992155" y="2458521"/>
          <a:ext cx="1317946" cy="360879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050" b="1" i="0" baseline="0">
              <a:solidFill>
                <a:schemeClr val="lt1"/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Update Rooms</a:t>
          </a:r>
          <a:r>
            <a:rPr lang="en-IN" sz="9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en-IN" sz="900" b="1">
            <a:effectLst/>
          </a:endParaRPr>
        </a:p>
        <a:p>
          <a:pPr algn="l"/>
          <a:endParaRPr lang="en-IN" sz="900"/>
        </a:p>
      </xdr:txBody>
    </xdr:sp>
    <xdr:clientData/>
  </xdr:twoCellAnchor>
  <xdr:twoCellAnchor>
    <xdr:from>
      <xdr:col>11</xdr:col>
      <xdr:colOff>45357</xdr:colOff>
      <xdr:row>4</xdr:row>
      <xdr:rowOff>18231</xdr:rowOff>
    </xdr:from>
    <xdr:to>
      <xdr:col>13</xdr:col>
      <xdr:colOff>186417</xdr:colOff>
      <xdr:row>5</xdr:row>
      <xdr:rowOff>328838</xdr:rowOff>
    </xdr:to>
    <xdr:sp macro="[0]!Newbooking.Newbooking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B7D9A1F7-8F94-4AFD-86C4-38E8969F0C25}"/>
            </a:ext>
          </a:extLst>
        </xdr:cNvPr>
        <xdr:cNvSpPr/>
      </xdr:nvSpPr>
      <xdr:spPr>
        <a:xfrm>
          <a:off x="6678839" y="539838"/>
          <a:ext cx="1274989" cy="3446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New Booking</a:t>
          </a:r>
        </a:p>
      </xdr:txBody>
    </xdr:sp>
    <xdr:clientData/>
  </xdr:twoCellAnchor>
  <xdr:twoCellAnchor editAs="oneCell">
    <xdr:from>
      <xdr:col>2</xdr:col>
      <xdr:colOff>214044</xdr:colOff>
      <xdr:row>25</xdr:row>
      <xdr:rowOff>107022</xdr:rowOff>
    </xdr:from>
    <xdr:to>
      <xdr:col>5</xdr:col>
      <xdr:colOff>275730</xdr:colOff>
      <xdr:row>39</xdr:row>
      <xdr:rowOff>74915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33C4725-76C4-4070-8299-3FF58D294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910" r="20909"/>
        <a:stretch/>
      </xdr:blipFill>
      <xdr:spPr>
        <a:xfrm>
          <a:off x="931095" y="3702977"/>
          <a:ext cx="2244944" cy="26648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1182558</xdr:colOff>
      <xdr:row>4</xdr:row>
      <xdr:rowOff>186763</xdr:rowOff>
    </xdr:from>
    <xdr:to>
      <xdr:col>6</xdr:col>
      <xdr:colOff>229728</xdr:colOff>
      <xdr:row>15</xdr:row>
      <xdr:rowOff>37352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6D1F11C-B1E0-4F0C-A686-2141C513E6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-42000"/>
                  </a14:imgEffect>
                  <a14:imgEffect>
                    <a14:brightnessContrast bright="7000" contrast="2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8931" r="10283" b="7679"/>
        <a:stretch/>
      </xdr:blipFill>
      <xdr:spPr>
        <a:xfrm>
          <a:off x="4029234" y="1334093"/>
          <a:ext cx="2424216" cy="23184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test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95E41-312D-46C8-BED0-A2A0ACE8FC81}">
  <sheetPr codeName="Sheet6"/>
  <dimension ref="A1:AM1048576"/>
  <sheetViews>
    <sheetView showGridLines="0" tabSelected="1" zoomScale="70" zoomScaleNormal="70" workbookViewId="0">
      <selection activeCell="J8" sqref="J8:K8"/>
    </sheetView>
  </sheetViews>
  <sheetFormatPr defaultColWidth="0" defaultRowHeight="15" customHeight="1" zeroHeight="1"/>
  <cols>
    <col min="1" max="1" width="9.109375" style="75" customWidth="1"/>
    <col min="2" max="2" width="1.5546875" style="75" customWidth="1"/>
    <col min="3" max="4" width="9.109375" style="75" customWidth="1"/>
    <col min="5" max="5" width="14.44140625" style="75" customWidth="1"/>
    <col min="6" max="6" width="7.5546875" style="75" customWidth="1"/>
    <col min="7" max="7" width="9.5546875" style="75" customWidth="1"/>
    <col min="8" max="8" width="7.88671875" style="75" customWidth="1"/>
    <col min="9" max="9" width="12.6640625" style="75" customWidth="1"/>
    <col min="10" max="10" width="9.109375" style="75" customWidth="1"/>
    <col min="11" max="11" width="11.109375" style="75" customWidth="1"/>
    <col min="12" max="12" width="8.44140625" style="75" customWidth="1"/>
    <col min="13" max="13" width="8.5546875" style="75" customWidth="1"/>
    <col min="14" max="14" width="9.109375" style="75" customWidth="1"/>
    <col min="15" max="15" width="9.44140625" style="75" customWidth="1"/>
    <col min="16" max="16" width="7.6640625" style="75" customWidth="1"/>
    <col min="17" max="17" width="9" style="75" customWidth="1"/>
    <col min="18" max="18" width="10.44140625" style="75" customWidth="1"/>
    <col min="19" max="20" width="9.109375" style="75" customWidth="1"/>
    <col min="21" max="21" width="0.6640625" style="75" customWidth="1"/>
    <col min="22" max="23" width="1.109375" style="75" customWidth="1"/>
    <col min="24" max="24" width="12.6640625" style="75" customWidth="1"/>
    <col min="25" max="25" width="9" style="75" customWidth="1"/>
    <col min="26" max="26" width="8.88671875" style="75" customWidth="1"/>
    <col min="27" max="29" width="9.109375" style="75" customWidth="1"/>
    <col min="30" max="30" width="9.33203125" style="75" customWidth="1"/>
    <col min="31" max="32" width="9.109375" style="75" customWidth="1"/>
    <col min="33" max="33" width="1.5546875" style="75" customWidth="1"/>
    <col min="34" max="34" width="25.109375" style="75" hidden="1" customWidth="1"/>
    <col min="35" max="39" width="9.109375" style="75" customWidth="1"/>
    <col min="40" max="16384" width="9.109375" style="75" hidden="1"/>
  </cols>
  <sheetData>
    <row r="1" spans="2:34" ht="6" customHeight="1"/>
    <row r="2" spans="2:34" ht="7.5" customHeight="1">
      <c r="B2" s="76"/>
      <c r="C2" s="77"/>
      <c r="D2" s="78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9"/>
    </row>
    <row r="3" spans="2:34" ht="15" customHeight="1">
      <c r="B3" s="80"/>
      <c r="C3" s="81"/>
      <c r="D3" s="82"/>
      <c r="E3" s="81"/>
      <c r="F3" s="81"/>
      <c r="G3" s="81"/>
      <c r="H3" s="81"/>
      <c r="I3" s="81"/>
      <c r="J3" s="81"/>
      <c r="K3" s="81"/>
      <c r="L3" s="81"/>
      <c r="M3" s="158" t="s">
        <v>0</v>
      </c>
      <c r="N3" s="159"/>
      <c r="O3" s="159"/>
      <c r="P3" s="159"/>
      <c r="Q3" s="159"/>
      <c r="R3" s="159"/>
      <c r="S3" s="159"/>
      <c r="T3" s="159"/>
      <c r="U3" s="159"/>
      <c r="V3" s="160"/>
      <c r="W3" s="83"/>
      <c r="X3" s="81"/>
      <c r="Y3" s="81"/>
      <c r="Z3" s="81"/>
      <c r="AA3" s="81"/>
      <c r="AB3" s="81"/>
      <c r="AC3" s="155" t="s">
        <v>69</v>
      </c>
      <c r="AD3" s="156"/>
      <c r="AE3" s="156"/>
      <c r="AF3" s="157"/>
      <c r="AG3" s="84"/>
    </row>
    <row r="4" spans="2:34" ht="12.75" customHeight="1">
      <c r="B4" s="80"/>
      <c r="C4" s="81"/>
      <c r="D4" s="82"/>
      <c r="E4" s="81"/>
      <c r="F4" s="81"/>
      <c r="G4" s="81"/>
      <c r="H4" s="81"/>
      <c r="I4" s="81"/>
      <c r="J4" s="81"/>
      <c r="K4" s="81"/>
      <c r="L4" s="81"/>
      <c r="M4" s="161"/>
      <c r="N4" s="162"/>
      <c r="O4" s="162"/>
      <c r="P4" s="162"/>
      <c r="Q4" s="162"/>
      <c r="R4" s="162"/>
      <c r="S4" s="162"/>
      <c r="T4" s="162"/>
      <c r="U4" s="162"/>
      <c r="V4" s="163"/>
      <c r="W4" s="83"/>
      <c r="X4" s="81"/>
      <c r="Y4" s="81"/>
      <c r="Z4" s="81"/>
      <c r="AA4" s="81"/>
      <c r="AB4" s="81"/>
      <c r="AC4" s="81"/>
      <c r="AD4" s="81"/>
      <c r="AE4" s="81"/>
      <c r="AF4" s="81"/>
      <c r="AG4" s="84"/>
    </row>
    <row r="5" spans="2:34" ht="3" customHeight="1">
      <c r="B5" s="84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81"/>
      <c r="AE5" s="81"/>
      <c r="AF5" s="81"/>
      <c r="AG5" s="84"/>
    </row>
    <row r="6" spans="2:34" ht="25.5" customHeight="1">
      <c r="B6" s="85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5"/>
    </row>
    <row r="7" spans="2:34" ht="3" customHeight="1">
      <c r="B7" s="85"/>
      <c r="C7" s="87"/>
      <c r="D7" s="87"/>
      <c r="E7" s="87"/>
      <c r="F7" s="8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85"/>
    </row>
    <row r="8" spans="2:34" ht="14.25" customHeight="1">
      <c r="B8" s="84"/>
      <c r="E8" s="164" t="s">
        <v>10</v>
      </c>
      <c r="F8" s="165"/>
      <c r="G8" s="88"/>
      <c r="H8" s="88"/>
      <c r="I8" s="88" t="s">
        <v>1</v>
      </c>
      <c r="J8" s="141"/>
      <c r="K8" s="142"/>
      <c r="L8" s="89"/>
      <c r="M8" s="90"/>
      <c r="N8" s="91"/>
      <c r="O8" s="136" t="s">
        <v>23</v>
      </c>
      <c r="P8" s="137"/>
      <c r="Q8" s="134"/>
      <c r="R8" s="135"/>
      <c r="S8" s="88"/>
      <c r="T8" s="88"/>
      <c r="U8" s="88"/>
      <c r="V8" s="136" t="s">
        <v>5</v>
      </c>
      <c r="W8" s="136"/>
      <c r="X8" s="137"/>
      <c r="Y8" s="166"/>
      <c r="Z8" s="167"/>
      <c r="AA8" s="167"/>
      <c r="AB8" s="168"/>
      <c r="AC8" s="88"/>
      <c r="AD8" s="88"/>
      <c r="AE8" s="88"/>
      <c r="AF8" s="88"/>
      <c r="AG8" s="84"/>
    </row>
    <row r="9" spans="2:34" ht="4.5" customHeight="1">
      <c r="B9" s="84"/>
      <c r="E9" s="88"/>
      <c r="F9" s="88"/>
      <c r="G9" s="88"/>
      <c r="H9" s="88"/>
      <c r="I9" s="88"/>
      <c r="J9" s="92"/>
      <c r="K9" s="93"/>
      <c r="L9" s="88"/>
      <c r="M9" s="88"/>
      <c r="N9" s="88"/>
      <c r="O9" s="94"/>
      <c r="P9" s="94"/>
      <c r="Q9" s="93"/>
      <c r="R9" s="92"/>
      <c r="S9" s="88"/>
      <c r="T9" s="88"/>
      <c r="U9" s="88"/>
      <c r="V9" s="94"/>
      <c r="W9" s="94"/>
      <c r="X9" s="95"/>
      <c r="Y9" s="93"/>
      <c r="AA9" s="92"/>
      <c r="AB9" s="92"/>
      <c r="AC9" s="88"/>
      <c r="AD9" s="88"/>
      <c r="AE9" s="88"/>
      <c r="AF9" s="88"/>
      <c r="AG9" s="84"/>
    </row>
    <row r="10" spans="2:34" ht="15" customHeight="1">
      <c r="B10" s="84"/>
      <c r="E10" s="169" t="s">
        <v>11</v>
      </c>
      <c r="F10" s="170"/>
      <c r="G10" s="88"/>
      <c r="H10" s="88"/>
      <c r="I10" s="88" t="s">
        <v>2</v>
      </c>
      <c r="J10" s="150"/>
      <c r="K10" s="142"/>
      <c r="L10" s="89"/>
      <c r="M10" s="88"/>
      <c r="N10" s="96"/>
      <c r="O10" s="136" t="s">
        <v>58</v>
      </c>
      <c r="P10" s="137"/>
      <c r="Q10" s="143"/>
      <c r="R10" s="144"/>
      <c r="S10" s="88"/>
      <c r="T10" s="88"/>
      <c r="U10" s="88"/>
      <c r="V10" s="136" t="s">
        <v>7</v>
      </c>
      <c r="W10" s="136"/>
      <c r="X10" s="137"/>
      <c r="Y10" s="145"/>
      <c r="Z10" s="146"/>
      <c r="AA10" s="146"/>
      <c r="AB10" s="147"/>
      <c r="AC10" s="88"/>
      <c r="AD10" s="88"/>
      <c r="AE10" s="88"/>
      <c r="AF10" s="88"/>
      <c r="AG10" s="84"/>
    </row>
    <row r="11" spans="2:34" ht="4.5" customHeight="1">
      <c r="B11" s="84"/>
      <c r="E11" s="88"/>
      <c r="F11" s="88"/>
      <c r="G11" s="88"/>
      <c r="H11" s="88"/>
      <c r="I11" s="88"/>
      <c r="J11" s="92"/>
      <c r="K11" s="93"/>
      <c r="L11" s="88"/>
      <c r="M11" s="88"/>
      <c r="N11" s="88"/>
      <c r="O11" s="94"/>
      <c r="P11" s="94"/>
      <c r="Q11" s="93"/>
      <c r="R11" s="92"/>
      <c r="S11" s="88"/>
      <c r="T11" s="88"/>
      <c r="U11" s="88"/>
      <c r="V11" s="94"/>
      <c r="W11" s="94"/>
      <c r="X11" s="95"/>
      <c r="Y11" s="97"/>
      <c r="Z11" s="98"/>
      <c r="AA11" s="99"/>
      <c r="AB11" s="99"/>
      <c r="AC11" s="88"/>
      <c r="AD11" s="88"/>
      <c r="AE11" s="88"/>
      <c r="AF11" s="88"/>
      <c r="AG11" s="84"/>
    </row>
    <row r="12" spans="2:34" ht="14.4">
      <c r="B12" s="84"/>
      <c r="E12" s="153" t="s">
        <v>12</v>
      </c>
      <c r="F12" s="154"/>
      <c r="G12" s="88"/>
      <c r="H12" s="88"/>
      <c r="I12" s="88" t="s">
        <v>54</v>
      </c>
      <c r="J12" s="141"/>
      <c r="K12" s="142"/>
      <c r="L12" s="89"/>
      <c r="M12" s="88"/>
      <c r="N12" s="100"/>
      <c r="O12" s="136" t="s">
        <v>59</v>
      </c>
      <c r="P12" s="137"/>
      <c r="Q12" s="143"/>
      <c r="R12" s="144"/>
      <c r="S12" s="88"/>
      <c r="T12" s="88"/>
      <c r="U12" s="88"/>
      <c r="V12" s="136" t="s">
        <v>6</v>
      </c>
      <c r="W12" s="136"/>
      <c r="X12" s="137"/>
      <c r="Y12" s="145"/>
      <c r="Z12" s="146"/>
      <c r="AA12" s="146"/>
      <c r="AB12" s="147"/>
      <c r="AC12" s="101" t="s">
        <v>37</v>
      </c>
      <c r="AD12" s="88"/>
      <c r="AE12" s="88"/>
      <c r="AF12" s="88"/>
      <c r="AG12" s="84"/>
    </row>
    <row r="13" spans="2:34" ht="4.5" customHeight="1">
      <c r="B13" s="84"/>
      <c r="E13" s="88"/>
      <c r="F13" s="88"/>
      <c r="G13" s="88"/>
      <c r="H13" s="88"/>
      <c r="I13" s="88"/>
      <c r="J13" s="92"/>
      <c r="K13" s="93"/>
      <c r="L13" s="88"/>
      <c r="M13" s="88"/>
      <c r="N13" s="88"/>
      <c r="O13" s="94"/>
      <c r="P13" s="94"/>
      <c r="Q13" s="93"/>
      <c r="R13" s="92"/>
      <c r="S13" s="88"/>
      <c r="T13" s="88"/>
      <c r="U13" s="88"/>
      <c r="V13" s="94"/>
      <c r="W13" s="94"/>
      <c r="X13" s="95"/>
      <c r="Y13" s="97"/>
      <c r="Z13" s="98"/>
      <c r="AA13" s="99"/>
      <c r="AB13" s="99"/>
      <c r="AC13" s="102"/>
      <c r="AD13" s="88"/>
      <c r="AE13" s="88"/>
      <c r="AF13" s="88"/>
      <c r="AG13" s="84"/>
    </row>
    <row r="14" spans="2:34" ht="14.4">
      <c r="B14" s="84"/>
      <c r="E14" s="148" t="s">
        <v>13</v>
      </c>
      <c r="F14" s="149"/>
      <c r="G14" s="88"/>
      <c r="H14" s="88"/>
      <c r="I14" s="88" t="s">
        <v>3</v>
      </c>
      <c r="J14" s="150"/>
      <c r="K14" s="142"/>
      <c r="L14" s="89"/>
      <c r="M14" s="88"/>
      <c r="N14" s="96"/>
      <c r="O14" s="136" t="s">
        <v>22</v>
      </c>
      <c r="P14" s="137"/>
      <c r="Q14" s="143"/>
      <c r="R14" s="144"/>
      <c r="S14" s="88"/>
      <c r="T14" s="88"/>
      <c r="U14" s="88"/>
      <c r="V14" s="136" t="s">
        <v>9</v>
      </c>
      <c r="W14" s="136"/>
      <c r="X14" s="137"/>
      <c r="Y14" s="145"/>
      <c r="Z14" s="146"/>
      <c r="AA14" s="146"/>
      <c r="AB14" s="147"/>
      <c r="AC14" s="103"/>
      <c r="AD14" s="139">
        <v>44479.125532407408</v>
      </c>
      <c r="AE14" s="139"/>
      <c r="AF14" s="140"/>
      <c r="AG14" s="84"/>
      <c r="AH14" s="104">
        <f>Lastmodi</f>
        <v>44479.125532407408</v>
      </c>
    </row>
    <row r="15" spans="2:34" ht="4.5" customHeight="1">
      <c r="B15" s="84"/>
      <c r="E15" s="88"/>
      <c r="F15" s="88"/>
      <c r="G15" s="88"/>
      <c r="H15" s="88"/>
      <c r="I15" s="88"/>
      <c r="J15" s="92"/>
      <c r="K15" s="93"/>
      <c r="L15" s="88"/>
      <c r="M15" s="88"/>
      <c r="N15" s="88"/>
      <c r="O15" s="94"/>
      <c r="P15" s="94"/>
      <c r="Q15" s="93"/>
      <c r="R15" s="92"/>
      <c r="S15" s="88"/>
      <c r="T15" s="88"/>
      <c r="U15" s="88"/>
      <c r="V15" s="94"/>
      <c r="W15" s="94"/>
      <c r="X15" s="95"/>
      <c r="Y15" s="97"/>
      <c r="Z15" s="98"/>
      <c r="AA15" s="99"/>
      <c r="AB15" s="99"/>
      <c r="AC15" s="88"/>
      <c r="AD15" s="88"/>
      <c r="AE15" s="88"/>
      <c r="AF15" s="88"/>
      <c r="AG15" s="84"/>
    </row>
    <row r="16" spans="2:34" ht="14.4">
      <c r="B16" s="84"/>
      <c r="E16" s="151" t="s">
        <v>62</v>
      </c>
      <c r="F16" s="152"/>
      <c r="G16" s="88"/>
      <c r="H16" s="88"/>
      <c r="I16" s="88" t="s">
        <v>4</v>
      </c>
      <c r="J16" s="141"/>
      <c r="K16" s="142"/>
      <c r="L16" s="89"/>
      <c r="M16" s="88"/>
      <c r="N16" s="88"/>
      <c r="O16" s="136" t="s">
        <v>64</v>
      </c>
      <c r="P16" s="137"/>
      <c r="Q16" s="143"/>
      <c r="R16" s="144"/>
      <c r="S16" s="88"/>
      <c r="T16" s="88"/>
      <c r="U16" s="88"/>
      <c r="V16" s="136" t="s">
        <v>8</v>
      </c>
      <c r="W16" s="136"/>
      <c r="X16" s="137"/>
      <c r="Y16" s="145"/>
      <c r="Z16" s="146"/>
      <c r="AA16" s="146"/>
      <c r="AB16" s="147"/>
      <c r="AC16" s="88"/>
      <c r="AD16" s="88"/>
      <c r="AE16" s="88"/>
      <c r="AF16" s="88"/>
      <c r="AG16" s="84"/>
    </row>
    <row r="17" spans="2:33" ht="3.75" customHeight="1">
      <c r="B17" s="84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  <c r="AA17" s="92"/>
      <c r="AB17" s="92"/>
      <c r="AC17" s="92"/>
      <c r="AD17" s="92"/>
      <c r="AE17" s="92"/>
      <c r="AF17" s="92"/>
      <c r="AG17" s="84"/>
    </row>
    <row r="18" spans="2:33" ht="5.25" customHeight="1">
      <c r="B18" s="84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5"/>
      <c r="AA18" s="105"/>
      <c r="AB18" s="105"/>
      <c r="AC18" s="105"/>
      <c r="AD18" s="105"/>
      <c r="AE18" s="105"/>
      <c r="AF18" s="105"/>
      <c r="AG18" s="84"/>
    </row>
    <row r="19" spans="2:33" ht="18.75" customHeight="1">
      <c r="B19" s="84"/>
      <c r="G19" s="106" t="s">
        <v>20</v>
      </c>
      <c r="H19" s="107"/>
      <c r="I19" s="108" t="s">
        <v>21</v>
      </c>
      <c r="J19" s="107"/>
      <c r="K19" s="109" t="s">
        <v>15</v>
      </c>
      <c r="L19" s="107"/>
      <c r="M19" s="108" t="s">
        <v>16</v>
      </c>
      <c r="N19" s="107"/>
      <c r="O19" s="108" t="s">
        <v>17</v>
      </c>
      <c r="P19" s="107"/>
      <c r="Q19" s="109" t="s">
        <v>18</v>
      </c>
      <c r="R19" s="107"/>
      <c r="S19" s="108" t="s">
        <v>19</v>
      </c>
      <c r="T19" s="107"/>
      <c r="V19" s="105"/>
      <c r="W19" s="92"/>
      <c r="AG19" s="84"/>
    </row>
    <row r="20" spans="2:33" ht="14.4">
      <c r="B20" s="84"/>
      <c r="D20" s="75" t="s">
        <v>14</v>
      </c>
      <c r="E20" s="110">
        <v>44409</v>
      </c>
      <c r="G20" s="111" t="s">
        <v>38</v>
      </c>
      <c r="H20" s="111" t="s">
        <v>39</v>
      </c>
      <c r="I20" s="111" t="s">
        <v>38</v>
      </c>
      <c r="J20" s="111" t="s">
        <v>39</v>
      </c>
      <c r="K20" s="111" t="s">
        <v>38</v>
      </c>
      <c r="L20" s="111" t="s">
        <v>39</v>
      </c>
      <c r="M20" s="111" t="s">
        <v>38</v>
      </c>
      <c r="N20" s="111" t="s">
        <v>39</v>
      </c>
      <c r="O20" s="111" t="s">
        <v>38</v>
      </c>
      <c r="P20" s="111" t="s">
        <v>39</v>
      </c>
      <c r="Q20" s="111" t="s">
        <v>38</v>
      </c>
      <c r="R20" s="111" t="s">
        <v>39</v>
      </c>
      <c r="S20" s="111" t="s">
        <v>38</v>
      </c>
      <c r="T20" s="111" t="s">
        <v>39</v>
      </c>
      <c r="U20" s="112"/>
      <c r="V20" s="105"/>
      <c r="W20" s="92"/>
      <c r="Y20" s="113" t="s">
        <v>61</v>
      </c>
      <c r="Z20" s="134"/>
      <c r="AA20" s="135"/>
      <c r="AG20" s="84"/>
    </row>
    <row r="21" spans="2:33" ht="14.4">
      <c r="B21" s="84"/>
      <c r="G21" s="114"/>
      <c r="H21" s="115">
        <v>44409</v>
      </c>
      <c r="I21" s="116"/>
      <c r="J21" s="115">
        <v>44410</v>
      </c>
      <c r="K21" s="116"/>
      <c r="L21" s="115">
        <v>44411</v>
      </c>
      <c r="M21" s="116"/>
      <c r="N21" s="115">
        <v>44412</v>
      </c>
      <c r="O21" s="116"/>
      <c r="P21" s="115">
        <v>44413</v>
      </c>
      <c r="Q21" s="116"/>
      <c r="R21" s="115">
        <v>44414</v>
      </c>
      <c r="S21" s="116"/>
      <c r="T21" s="115">
        <v>44415</v>
      </c>
      <c r="U21" s="117"/>
      <c r="V21" s="105"/>
      <c r="W21" s="92"/>
      <c r="X21" s="113"/>
      <c r="AG21" s="84"/>
    </row>
    <row r="22" spans="2:33" ht="14.4">
      <c r="B22" s="84"/>
      <c r="G22" s="118"/>
      <c r="H22" s="119"/>
      <c r="I22" s="120"/>
      <c r="J22" s="119"/>
      <c r="K22" s="120"/>
      <c r="L22" s="119"/>
      <c r="M22" s="120"/>
      <c r="N22" s="119"/>
      <c r="O22" s="120"/>
      <c r="P22" s="121"/>
      <c r="Q22" s="122"/>
      <c r="R22" s="121"/>
      <c r="S22" s="120"/>
      <c r="T22" s="119"/>
      <c r="U22" s="117"/>
      <c r="V22" s="105"/>
      <c r="W22" s="92"/>
      <c r="Y22" s="113" t="s">
        <v>60</v>
      </c>
      <c r="Z22" s="134" t="s">
        <v>11</v>
      </c>
      <c r="AA22" s="135"/>
      <c r="AG22" s="84"/>
    </row>
    <row r="23" spans="2:33" ht="14.4">
      <c r="B23" s="84"/>
      <c r="G23" s="118"/>
      <c r="H23" s="119"/>
      <c r="I23" s="120"/>
      <c r="J23" s="119"/>
      <c r="K23" s="120"/>
      <c r="L23" s="119"/>
      <c r="M23" s="120"/>
      <c r="N23" s="119"/>
      <c r="O23" s="120"/>
      <c r="P23" s="119"/>
      <c r="Q23" s="120"/>
      <c r="R23" s="119"/>
      <c r="S23" s="120"/>
      <c r="T23" s="119"/>
      <c r="U23" s="117"/>
      <c r="V23" s="105"/>
      <c r="W23" s="92"/>
      <c r="AG23" s="84"/>
    </row>
    <row r="24" spans="2:33" ht="14.4">
      <c r="B24" s="84"/>
      <c r="G24" s="123"/>
      <c r="H24" s="124"/>
      <c r="I24" s="125"/>
      <c r="J24" s="124"/>
      <c r="K24" s="125"/>
      <c r="L24" s="124"/>
      <c r="M24" s="125"/>
      <c r="N24" s="124"/>
      <c r="O24" s="125"/>
      <c r="P24" s="124"/>
      <c r="Q24" s="125"/>
      <c r="R24" s="124"/>
      <c r="S24" s="125"/>
      <c r="T24" s="124"/>
      <c r="U24" s="117"/>
      <c r="V24" s="105"/>
      <c r="W24" s="92"/>
      <c r="AG24" s="84"/>
    </row>
    <row r="25" spans="2:33" ht="14.4">
      <c r="B25" s="84"/>
      <c r="G25" s="114"/>
      <c r="H25" s="115">
        <v>44416</v>
      </c>
      <c r="I25" s="116"/>
      <c r="J25" s="115">
        <v>44417</v>
      </c>
      <c r="K25" s="116"/>
      <c r="L25" s="115">
        <v>44418</v>
      </c>
      <c r="M25" s="116"/>
      <c r="N25" s="115">
        <v>44419</v>
      </c>
      <c r="O25" s="116"/>
      <c r="P25" s="115">
        <v>44420</v>
      </c>
      <c r="Q25" s="116"/>
      <c r="R25" s="115">
        <v>44421</v>
      </c>
      <c r="S25" s="116"/>
      <c r="T25" s="115">
        <v>44422</v>
      </c>
      <c r="U25" s="117"/>
      <c r="V25" s="105"/>
      <c r="W25" s="92"/>
      <c r="X25" s="133">
        <v>101</v>
      </c>
      <c r="Y25" s="133">
        <v>102</v>
      </c>
      <c r="Z25" s="133">
        <v>103</v>
      </c>
      <c r="AA25" s="133">
        <v>104</v>
      </c>
      <c r="AB25" s="133">
        <v>105</v>
      </c>
      <c r="AC25" s="133">
        <v>106</v>
      </c>
      <c r="AD25" s="133">
        <v>107</v>
      </c>
      <c r="AE25" s="133">
        <v>108</v>
      </c>
      <c r="AG25" s="84"/>
    </row>
    <row r="26" spans="2:33" ht="14.4">
      <c r="B26" s="84"/>
      <c r="G26" s="118"/>
      <c r="H26" s="119"/>
      <c r="I26" s="120"/>
      <c r="J26" s="119"/>
      <c r="K26" s="120"/>
      <c r="L26" s="119"/>
      <c r="M26" s="120"/>
      <c r="N26" s="119"/>
      <c r="O26" s="120"/>
      <c r="P26" s="119"/>
      <c r="Q26" s="120"/>
      <c r="R26" s="119"/>
      <c r="S26" s="120"/>
      <c r="T26" s="119"/>
      <c r="U26" s="117"/>
      <c r="V26" s="105"/>
      <c r="W26" s="92"/>
      <c r="X26" s="133">
        <v>109</v>
      </c>
      <c r="Y26" s="133">
        <v>110</v>
      </c>
      <c r="Z26" s="133">
        <v>111</v>
      </c>
      <c r="AA26" s="133">
        <v>112</v>
      </c>
      <c r="AB26" s="133">
        <v>113</v>
      </c>
      <c r="AC26" s="133">
        <v>114</v>
      </c>
      <c r="AD26" s="133">
        <v>115</v>
      </c>
      <c r="AE26" s="133">
        <v>116</v>
      </c>
      <c r="AG26" s="84"/>
    </row>
    <row r="27" spans="2:33" ht="14.4">
      <c r="B27" s="84"/>
      <c r="G27" s="118"/>
      <c r="H27" s="119"/>
      <c r="I27" s="120"/>
      <c r="J27" s="119"/>
      <c r="K27" s="120"/>
      <c r="L27" s="119"/>
      <c r="M27" s="120"/>
      <c r="N27" s="119"/>
      <c r="O27" s="120"/>
      <c r="P27" s="119"/>
      <c r="Q27" s="120"/>
      <c r="R27" s="119"/>
      <c r="S27" s="120"/>
      <c r="T27" s="119"/>
      <c r="U27" s="117"/>
      <c r="V27" s="105"/>
      <c r="W27" s="92"/>
      <c r="X27" s="133">
        <v>117</v>
      </c>
      <c r="Y27" s="133">
        <v>118</v>
      </c>
      <c r="Z27" s="133">
        <v>119</v>
      </c>
      <c r="AA27" s="133">
        <v>120</v>
      </c>
      <c r="AB27" s="133">
        <v>121</v>
      </c>
      <c r="AC27" s="133">
        <v>122</v>
      </c>
      <c r="AD27" s="133">
        <v>123</v>
      </c>
      <c r="AE27" s="133">
        <v>124</v>
      </c>
      <c r="AG27" s="84"/>
    </row>
    <row r="28" spans="2:33" ht="14.4">
      <c r="B28" s="84"/>
      <c r="G28" s="123"/>
      <c r="H28" s="124"/>
      <c r="I28" s="125"/>
      <c r="J28" s="124"/>
      <c r="K28" s="125"/>
      <c r="L28" s="124"/>
      <c r="M28" s="125"/>
      <c r="N28" s="124"/>
      <c r="O28" s="125"/>
      <c r="P28" s="124"/>
      <c r="Q28" s="125"/>
      <c r="R28" s="124"/>
      <c r="S28" s="125"/>
      <c r="T28" s="124"/>
      <c r="U28" s="117"/>
      <c r="V28" s="105"/>
      <c r="W28" s="92"/>
      <c r="X28" s="133">
        <v>125</v>
      </c>
      <c r="Y28" s="133">
        <v>126</v>
      </c>
      <c r="Z28" s="133">
        <v>127</v>
      </c>
      <c r="AA28" s="133">
        <v>128</v>
      </c>
      <c r="AB28" s="133">
        <v>129</v>
      </c>
      <c r="AC28" s="133">
        <v>130</v>
      </c>
      <c r="AD28" s="133">
        <v>131</v>
      </c>
      <c r="AE28" s="133">
        <v>132</v>
      </c>
      <c r="AG28" s="84"/>
    </row>
    <row r="29" spans="2:33" ht="14.4">
      <c r="B29" s="84"/>
      <c r="G29" s="114"/>
      <c r="H29" s="115">
        <v>44423</v>
      </c>
      <c r="I29" s="116"/>
      <c r="J29" s="115">
        <v>44424</v>
      </c>
      <c r="K29" s="116"/>
      <c r="L29" s="115">
        <v>44425</v>
      </c>
      <c r="M29" s="116"/>
      <c r="N29" s="115">
        <v>44426</v>
      </c>
      <c r="O29" s="116"/>
      <c r="P29" s="115">
        <v>44427</v>
      </c>
      <c r="Q29" s="116"/>
      <c r="R29" s="115">
        <v>44428</v>
      </c>
      <c r="S29" s="116"/>
      <c r="T29" s="115">
        <v>44429</v>
      </c>
      <c r="U29" s="117"/>
      <c r="V29" s="105"/>
      <c r="W29" s="92"/>
      <c r="X29" s="133">
        <v>133</v>
      </c>
      <c r="Y29" s="133">
        <v>134</v>
      </c>
      <c r="Z29" s="133">
        <v>135</v>
      </c>
      <c r="AA29" s="133">
        <v>136</v>
      </c>
      <c r="AB29" s="133">
        <v>137</v>
      </c>
      <c r="AC29" s="133">
        <v>138</v>
      </c>
      <c r="AD29" s="133">
        <v>139</v>
      </c>
      <c r="AE29" s="133">
        <v>140</v>
      </c>
      <c r="AG29" s="84"/>
    </row>
    <row r="30" spans="2:33" ht="14.4">
      <c r="B30" s="84"/>
      <c r="G30" s="118"/>
      <c r="H30" s="119"/>
      <c r="I30" s="120"/>
      <c r="J30" s="119"/>
      <c r="K30" s="120"/>
      <c r="L30" s="119"/>
      <c r="M30" s="120"/>
      <c r="N30" s="119"/>
      <c r="O30" s="120"/>
      <c r="P30" s="119"/>
      <c r="Q30" s="120"/>
      <c r="R30" s="119"/>
      <c r="S30" s="120"/>
      <c r="T30" s="119"/>
      <c r="U30" s="117"/>
      <c r="V30" s="105"/>
      <c r="W30" s="92"/>
      <c r="X30" s="133">
        <v>141</v>
      </c>
      <c r="Y30" s="133">
        <v>142</v>
      </c>
      <c r="Z30" s="133">
        <v>143</v>
      </c>
      <c r="AA30" s="133">
        <v>144</v>
      </c>
      <c r="AB30" s="133">
        <v>145</v>
      </c>
      <c r="AC30" s="133">
        <v>146</v>
      </c>
      <c r="AD30" s="133">
        <v>147</v>
      </c>
      <c r="AE30" s="133">
        <v>148</v>
      </c>
      <c r="AG30" s="84"/>
    </row>
    <row r="31" spans="2:33" ht="14.4">
      <c r="B31" s="84"/>
      <c r="G31" s="118"/>
      <c r="H31" s="119"/>
      <c r="I31" s="120"/>
      <c r="J31" s="119"/>
      <c r="K31" s="120"/>
      <c r="L31" s="119"/>
      <c r="M31" s="120"/>
      <c r="N31" s="119"/>
      <c r="O31" s="120"/>
      <c r="P31" s="119"/>
      <c r="Q31" s="120"/>
      <c r="R31" s="119"/>
      <c r="S31" s="120"/>
      <c r="T31" s="119"/>
      <c r="U31" s="117"/>
      <c r="V31" s="105"/>
      <c r="W31" s="92"/>
      <c r="X31" s="133">
        <v>149</v>
      </c>
      <c r="Y31" s="133">
        <v>150</v>
      </c>
      <c r="Z31" s="133">
        <v>151</v>
      </c>
      <c r="AA31" s="133">
        <v>152</v>
      </c>
      <c r="AB31" s="133">
        <v>153</v>
      </c>
      <c r="AC31" s="133">
        <v>154</v>
      </c>
      <c r="AD31" s="133">
        <v>155</v>
      </c>
      <c r="AE31" s="133">
        <v>156</v>
      </c>
      <c r="AG31" s="84"/>
    </row>
    <row r="32" spans="2:33" ht="14.4">
      <c r="B32" s="84"/>
      <c r="G32" s="123"/>
      <c r="H32" s="124"/>
      <c r="I32" s="125"/>
      <c r="J32" s="124"/>
      <c r="K32" s="125"/>
      <c r="L32" s="124"/>
      <c r="M32" s="125"/>
      <c r="N32" s="124"/>
      <c r="O32" s="125"/>
      <c r="P32" s="124"/>
      <c r="Q32" s="125"/>
      <c r="R32" s="124"/>
      <c r="S32" s="125"/>
      <c r="T32" s="124"/>
      <c r="U32" s="117"/>
      <c r="V32" s="105"/>
      <c r="W32" s="92"/>
      <c r="X32" s="133">
        <v>157</v>
      </c>
      <c r="Y32" s="133">
        <v>158</v>
      </c>
      <c r="Z32" s="133">
        <v>159</v>
      </c>
      <c r="AA32" s="133">
        <v>160</v>
      </c>
      <c r="AB32" s="133">
        <v>161</v>
      </c>
      <c r="AC32" s="133">
        <v>162</v>
      </c>
      <c r="AD32" s="133">
        <v>163</v>
      </c>
      <c r="AE32" s="133">
        <v>164</v>
      </c>
      <c r="AG32" s="84"/>
    </row>
    <row r="33" spans="2:33" ht="14.4">
      <c r="B33" s="84"/>
      <c r="G33" s="114"/>
      <c r="H33" s="115">
        <v>44430</v>
      </c>
      <c r="I33" s="116"/>
      <c r="J33" s="115">
        <v>44431</v>
      </c>
      <c r="K33" s="116"/>
      <c r="L33" s="115">
        <v>44432</v>
      </c>
      <c r="M33" s="116"/>
      <c r="N33" s="115">
        <v>44433</v>
      </c>
      <c r="O33" s="116"/>
      <c r="P33" s="115">
        <v>44434</v>
      </c>
      <c r="Q33" s="116"/>
      <c r="R33" s="115">
        <v>44435</v>
      </c>
      <c r="S33" s="116"/>
      <c r="T33" s="115">
        <v>44436</v>
      </c>
      <c r="U33" s="117"/>
      <c r="V33" s="105"/>
      <c r="W33" s="92"/>
      <c r="X33" s="133">
        <v>165</v>
      </c>
      <c r="Y33" s="133">
        <v>166</v>
      </c>
      <c r="Z33" s="133">
        <v>167</v>
      </c>
      <c r="AA33" s="133">
        <v>168</v>
      </c>
      <c r="AB33" s="133">
        <v>169</v>
      </c>
      <c r="AC33" s="133">
        <v>170</v>
      </c>
      <c r="AD33" s="133">
        <v>171</v>
      </c>
      <c r="AE33" s="133">
        <v>172</v>
      </c>
      <c r="AG33" s="84"/>
    </row>
    <row r="34" spans="2:33" ht="14.4">
      <c r="B34" s="84"/>
      <c r="G34" s="118"/>
      <c r="H34" s="119"/>
      <c r="I34" s="120"/>
      <c r="J34" s="119"/>
      <c r="K34" s="120"/>
      <c r="L34" s="119"/>
      <c r="M34" s="120"/>
      <c r="N34" s="119"/>
      <c r="O34" s="120"/>
      <c r="P34" s="119"/>
      <c r="Q34" s="120"/>
      <c r="R34" s="119"/>
      <c r="S34" s="120"/>
      <c r="T34" s="119"/>
      <c r="U34" s="117"/>
      <c r="V34" s="105"/>
      <c r="W34" s="92"/>
      <c r="X34" s="133">
        <v>173</v>
      </c>
      <c r="Y34" s="133">
        <v>174</v>
      </c>
      <c r="Z34" s="133">
        <v>175</v>
      </c>
      <c r="AA34" s="133">
        <v>176</v>
      </c>
      <c r="AB34" s="133">
        <v>177</v>
      </c>
      <c r="AC34" s="133">
        <v>178</v>
      </c>
      <c r="AD34" s="133">
        <v>179</v>
      </c>
      <c r="AE34" s="133">
        <v>180</v>
      </c>
      <c r="AG34" s="84"/>
    </row>
    <row r="35" spans="2:33" ht="14.4">
      <c r="B35" s="84"/>
      <c r="G35" s="118"/>
      <c r="H35" s="119"/>
      <c r="I35" s="120"/>
      <c r="J35" s="119"/>
      <c r="K35" s="120"/>
      <c r="L35" s="119"/>
      <c r="M35" s="120"/>
      <c r="N35" s="119"/>
      <c r="O35" s="120"/>
      <c r="P35" s="119"/>
      <c r="Q35" s="120"/>
      <c r="R35" s="119"/>
      <c r="S35" s="120"/>
      <c r="T35" s="119"/>
      <c r="U35" s="117"/>
      <c r="V35" s="105"/>
      <c r="W35" s="92"/>
      <c r="X35" s="133">
        <v>181</v>
      </c>
      <c r="Y35" s="133">
        <v>182</v>
      </c>
      <c r="Z35" s="133">
        <v>183</v>
      </c>
      <c r="AA35" s="133">
        <v>184</v>
      </c>
      <c r="AB35" s="133">
        <v>185</v>
      </c>
      <c r="AC35" s="133">
        <v>186</v>
      </c>
      <c r="AD35" s="133">
        <v>187</v>
      </c>
      <c r="AE35" s="133">
        <v>188</v>
      </c>
      <c r="AG35" s="84"/>
    </row>
    <row r="36" spans="2:33" ht="14.4">
      <c r="B36" s="84">
        <v>44213</v>
      </c>
      <c r="G36" s="123"/>
      <c r="H36" s="124"/>
      <c r="I36" s="125"/>
      <c r="J36" s="124"/>
      <c r="K36" s="125"/>
      <c r="L36" s="124"/>
      <c r="M36" s="125"/>
      <c r="N36" s="124"/>
      <c r="O36" s="125"/>
      <c r="P36" s="124"/>
      <c r="Q36" s="125"/>
      <c r="R36" s="124"/>
      <c r="S36" s="125"/>
      <c r="T36" s="124"/>
      <c r="U36" s="117"/>
      <c r="V36" s="105"/>
      <c r="W36" s="92"/>
      <c r="X36" s="133">
        <v>189</v>
      </c>
      <c r="Y36" s="133">
        <v>190</v>
      </c>
      <c r="Z36" s="133">
        <v>191</v>
      </c>
      <c r="AA36" s="133">
        <v>192</v>
      </c>
      <c r="AB36" s="133">
        <v>193</v>
      </c>
      <c r="AC36" s="133">
        <v>194</v>
      </c>
      <c r="AD36" s="133">
        <v>195</v>
      </c>
      <c r="AE36" s="133">
        <v>196</v>
      </c>
      <c r="AG36" s="84"/>
    </row>
    <row r="37" spans="2:33" ht="14.4">
      <c r="B37" s="126"/>
      <c r="G37" s="114"/>
      <c r="H37" s="115">
        <v>44437</v>
      </c>
      <c r="I37" s="116"/>
      <c r="J37" s="115">
        <v>44438</v>
      </c>
      <c r="K37" s="116"/>
      <c r="L37" s="115">
        <v>44439</v>
      </c>
      <c r="M37" s="116"/>
      <c r="N37" s="115"/>
      <c r="O37" s="116"/>
      <c r="P37" s="115"/>
      <c r="Q37" s="116"/>
      <c r="R37" s="115"/>
      <c r="S37" s="116"/>
      <c r="T37" s="115"/>
      <c r="U37" s="117"/>
      <c r="V37" s="105"/>
      <c r="W37" s="92"/>
      <c r="X37" s="133">
        <v>197</v>
      </c>
      <c r="Y37" s="133">
        <v>198</v>
      </c>
      <c r="Z37" s="133">
        <v>199</v>
      </c>
      <c r="AA37" s="133">
        <v>200</v>
      </c>
      <c r="AB37" s="133">
        <v>201</v>
      </c>
      <c r="AC37" s="133">
        <v>202</v>
      </c>
      <c r="AD37" s="133">
        <v>203</v>
      </c>
      <c r="AE37" s="133">
        <v>204</v>
      </c>
      <c r="AG37" s="84"/>
    </row>
    <row r="38" spans="2:33" ht="14.4">
      <c r="B38" s="84"/>
      <c r="G38" s="118"/>
      <c r="H38" s="119"/>
      <c r="I38" s="120"/>
      <c r="J38" s="119"/>
      <c r="K38" s="120"/>
      <c r="L38" s="119"/>
      <c r="M38" s="120"/>
      <c r="N38" s="119"/>
      <c r="O38" s="120"/>
      <c r="P38" s="119"/>
      <c r="Q38" s="120"/>
      <c r="R38" s="119"/>
      <c r="S38" s="120"/>
      <c r="T38" s="119"/>
      <c r="U38" s="117"/>
      <c r="V38" s="105"/>
      <c r="W38" s="92"/>
      <c r="X38" s="133">
        <v>205</v>
      </c>
      <c r="Y38" s="133">
        <v>206</v>
      </c>
      <c r="Z38" s="133">
        <v>207</v>
      </c>
      <c r="AA38" s="133">
        <v>208</v>
      </c>
      <c r="AB38" s="133">
        <v>209</v>
      </c>
      <c r="AC38" s="133">
        <v>210</v>
      </c>
      <c r="AD38" s="133">
        <v>211</v>
      </c>
      <c r="AE38" s="133">
        <v>212</v>
      </c>
      <c r="AG38" s="84"/>
    </row>
    <row r="39" spans="2:33" ht="14.4">
      <c r="B39" s="84"/>
      <c r="G39" s="118"/>
      <c r="H39" s="119"/>
      <c r="I39" s="120"/>
      <c r="J39" s="119"/>
      <c r="K39" s="120"/>
      <c r="L39" s="119"/>
      <c r="M39" s="120"/>
      <c r="N39" s="119"/>
      <c r="O39" s="120"/>
      <c r="P39" s="119"/>
      <c r="Q39" s="120"/>
      <c r="R39" s="119"/>
      <c r="S39" s="120"/>
      <c r="T39" s="119"/>
      <c r="U39" s="117"/>
      <c r="V39" s="105"/>
      <c r="W39" s="92"/>
      <c r="X39" s="133">
        <v>213</v>
      </c>
      <c r="Y39" s="133">
        <v>214</v>
      </c>
      <c r="Z39" s="133">
        <v>215</v>
      </c>
      <c r="AA39" s="133">
        <v>216</v>
      </c>
      <c r="AB39" s="133">
        <v>217</v>
      </c>
      <c r="AC39" s="133">
        <v>218</v>
      </c>
      <c r="AD39" s="133">
        <v>219</v>
      </c>
      <c r="AE39" s="133">
        <v>220</v>
      </c>
      <c r="AG39" s="84"/>
    </row>
    <row r="40" spans="2:33" ht="14.4">
      <c r="B40" s="84"/>
      <c r="G40" s="118"/>
      <c r="H40" s="119"/>
      <c r="I40" s="125"/>
      <c r="J40" s="124"/>
      <c r="K40" s="125"/>
      <c r="L40" s="124"/>
      <c r="M40" s="125"/>
      <c r="N40" s="124"/>
      <c r="O40" s="125"/>
      <c r="P40" s="124"/>
      <c r="Q40" s="125"/>
      <c r="R40" s="124"/>
      <c r="S40" s="125"/>
      <c r="T40" s="124"/>
      <c r="U40" s="117"/>
      <c r="V40" s="105"/>
      <c r="W40" s="92"/>
      <c r="X40" s="133">
        <v>221</v>
      </c>
      <c r="Y40" s="133">
        <v>222</v>
      </c>
      <c r="Z40" s="133">
        <v>223</v>
      </c>
      <c r="AA40" s="133">
        <v>224</v>
      </c>
      <c r="AB40" s="133">
        <v>225</v>
      </c>
      <c r="AC40" s="133">
        <v>226</v>
      </c>
      <c r="AD40" s="133">
        <v>227</v>
      </c>
      <c r="AE40" s="133">
        <v>228</v>
      </c>
      <c r="AG40" s="84"/>
    </row>
    <row r="41" spans="2:33" ht="17.25" customHeight="1">
      <c r="B41" s="84"/>
      <c r="C41" s="92"/>
      <c r="D41" s="92"/>
      <c r="E41" s="92"/>
      <c r="F41" s="92"/>
      <c r="G41" s="114"/>
      <c r="H41" s="115"/>
      <c r="I41" s="127"/>
      <c r="J41" s="115"/>
      <c r="K41" s="116"/>
      <c r="L41" s="115"/>
      <c r="M41" s="116"/>
      <c r="N41" s="115"/>
      <c r="O41" s="116"/>
      <c r="P41" s="115"/>
      <c r="Q41" s="116"/>
      <c r="R41" s="115"/>
      <c r="S41" s="116"/>
      <c r="T41" s="115"/>
      <c r="U41" s="117"/>
      <c r="V41" s="105"/>
      <c r="W41" s="92"/>
      <c r="X41" s="133">
        <v>229</v>
      </c>
      <c r="Y41" s="133">
        <v>230</v>
      </c>
      <c r="Z41" s="133">
        <v>231</v>
      </c>
      <c r="AA41" s="133">
        <v>232</v>
      </c>
      <c r="AB41" s="133">
        <v>233</v>
      </c>
      <c r="AC41" s="133">
        <v>234</v>
      </c>
      <c r="AD41" s="133">
        <v>235</v>
      </c>
      <c r="AE41" s="133">
        <v>236</v>
      </c>
      <c r="AF41" s="92"/>
      <c r="AG41" s="84"/>
    </row>
    <row r="42" spans="2:33" ht="14.4">
      <c r="B42" s="128"/>
      <c r="G42" s="118"/>
      <c r="H42" s="119"/>
      <c r="I42" s="117"/>
      <c r="J42" s="119"/>
      <c r="K42" s="120"/>
      <c r="L42" s="119"/>
      <c r="M42" s="120"/>
      <c r="N42" s="119"/>
      <c r="O42" s="120"/>
      <c r="P42" s="119"/>
      <c r="Q42" s="120"/>
      <c r="R42" s="119"/>
      <c r="S42" s="120"/>
      <c r="T42" s="119"/>
      <c r="U42" s="117"/>
      <c r="V42" s="105"/>
      <c r="W42" s="92"/>
      <c r="X42" s="133">
        <v>237</v>
      </c>
      <c r="Y42" s="133">
        <v>238</v>
      </c>
      <c r="Z42" s="133">
        <v>239</v>
      </c>
      <c r="AA42" s="133">
        <v>240</v>
      </c>
      <c r="AB42" s="133">
        <v>241</v>
      </c>
      <c r="AC42" s="133">
        <v>242</v>
      </c>
      <c r="AD42" s="133">
        <v>243</v>
      </c>
      <c r="AE42" s="133">
        <v>244</v>
      </c>
      <c r="AG42" s="128"/>
    </row>
    <row r="43" spans="2:33" ht="14.4">
      <c r="B43" s="84"/>
      <c r="G43" s="118"/>
      <c r="H43" s="119"/>
      <c r="I43" s="117"/>
      <c r="J43" s="119"/>
      <c r="K43" s="120"/>
      <c r="L43" s="119"/>
      <c r="M43" s="120"/>
      <c r="N43" s="119"/>
      <c r="O43" s="120"/>
      <c r="P43" s="119"/>
      <c r="Q43" s="120"/>
      <c r="R43" s="119"/>
      <c r="S43" s="120"/>
      <c r="T43" s="119"/>
      <c r="U43" s="117"/>
      <c r="V43" s="105"/>
      <c r="W43" s="92"/>
      <c r="X43" s="133">
        <v>245</v>
      </c>
      <c r="Y43" s="133">
        <v>246</v>
      </c>
      <c r="Z43" s="133">
        <v>247</v>
      </c>
      <c r="AA43" s="133">
        <v>248</v>
      </c>
      <c r="AB43" s="133">
        <v>249</v>
      </c>
      <c r="AC43" s="133">
        <v>250</v>
      </c>
      <c r="AD43" s="133">
        <v>251</v>
      </c>
      <c r="AE43" s="133">
        <v>252</v>
      </c>
      <c r="AG43" s="84"/>
    </row>
    <row r="44" spans="2:33" ht="14.4">
      <c r="B44" s="84"/>
      <c r="G44" s="123"/>
      <c r="H44" s="129"/>
      <c r="I44" s="130"/>
      <c r="J44" s="129"/>
      <c r="K44" s="123"/>
      <c r="L44" s="129"/>
      <c r="M44" s="123"/>
      <c r="N44" s="129"/>
      <c r="O44" s="123"/>
      <c r="P44" s="129"/>
      <c r="Q44" s="123"/>
      <c r="R44" s="129"/>
      <c r="S44" s="123"/>
      <c r="T44" s="129"/>
      <c r="U44" s="131"/>
      <c r="V44" s="105"/>
      <c r="W44" s="92"/>
      <c r="X44" s="133">
        <v>253</v>
      </c>
      <c r="Y44" s="133">
        <v>254</v>
      </c>
      <c r="Z44" s="133">
        <v>255</v>
      </c>
      <c r="AA44" s="133">
        <v>256</v>
      </c>
      <c r="AB44" s="133">
        <v>257</v>
      </c>
      <c r="AC44" s="133">
        <v>258</v>
      </c>
      <c r="AD44" s="133">
        <v>259</v>
      </c>
      <c r="AE44" s="133">
        <v>260</v>
      </c>
      <c r="AG44" s="84"/>
    </row>
    <row r="45" spans="2:33" ht="14.4">
      <c r="B45" s="128"/>
      <c r="D45" s="92"/>
      <c r="E45" s="92"/>
      <c r="V45" s="105"/>
      <c r="W45" s="92"/>
      <c r="AG45" s="128"/>
    </row>
    <row r="46" spans="2:33" ht="7.5" customHeight="1">
      <c r="B46" s="79">
        <v>44227</v>
      </c>
      <c r="C46" s="77"/>
      <c r="D46" s="77"/>
      <c r="E46" s="77"/>
      <c r="F46" s="77"/>
      <c r="G46" s="77"/>
      <c r="H46" s="132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9"/>
    </row>
    <row r="47" spans="2:33" ht="14.4">
      <c r="D47" s="138"/>
      <c r="E47" s="138"/>
    </row>
    <row r="48" spans="2:33" ht="14.4">
      <c r="D48" s="138"/>
      <c r="E48" s="138"/>
    </row>
    <row r="49" spans="4:5" ht="14.4">
      <c r="D49" s="138"/>
      <c r="E49" s="138"/>
    </row>
    <row r="50" spans="4:5" ht="14.4">
      <c r="D50" s="92"/>
      <c r="E50" s="92"/>
    </row>
    <row r="51" spans="4:5" ht="14.4">
      <c r="D51" s="92"/>
      <c r="E51" s="92"/>
    </row>
    <row r="52" spans="4:5" ht="14.4" hidden="1">
      <c r="D52" s="92"/>
      <c r="E52" s="92"/>
    </row>
    <row r="53" spans="4:5" ht="14.4" hidden="1">
      <c r="D53" s="92"/>
      <c r="E53" s="92"/>
    </row>
    <row r="54" spans="4:5" ht="14.4" hidden="1">
      <c r="D54" s="92"/>
      <c r="E54" s="92"/>
    </row>
    <row r="1048576" s="75" customFormat="1" ht="10.5" hidden="1" customHeight="1"/>
  </sheetData>
  <mergeCells count="38">
    <mergeCell ref="AC3:AF3"/>
    <mergeCell ref="Z22:AA22"/>
    <mergeCell ref="M3:V4"/>
    <mergeCell ref="E8:F8"/>
    <mergeCell ref="J8:K8"/>
    <mergeCell ref="O8:P8"/>
    <mergeCell ref="Q8:R8"/>
    <mergeCell ref="V8:X8"/>
    <mergeCell ref="Y12:AB12"/>
    <mergeCell ref="Y8:AB8"/>
    <mergeCell ref="E10:F10"/>
    <mergeCell ref="J10:K10"/>
    <mergeCell ref="O10:P10"/>
    <mergeCell ref="Q10:R10"/>
    <mergeCell ref="V10:X10"/>
    <mergeCell ref="Y10:AB10"/>
    <mergeCell ref="AD14:AF14"/>
    <mergeCell ref="J16:K16"/>
    <mergeCell ref="O16:P16"/>
    <mergeCell ref="Q16:R16"/>
    <mergeCell ref="V16:X16"/>
    <mergeCell ref="Y16:AB16"/>
    <mergeCell ref="J14:K14"/>
    <mergeCell ref="O14:P14"/>
    <mergeCell ref="Q14:R14"/>
    <mergeCell ref="V14:X14"/>
    <mergeCell ref="Y14:AB14"/>
    <mergeCell ref="Z20:AA20"/>
    <mergeCell ref="V12:X12"/>
    <mergeCell ref="D47:E47"/>
    <mergeCell ref="D48:E48"/>
    <mergeCell ref="D49:E49"/>
    <mergeCell ref="E14:F14"/>
    <mergeCell ref="E16:F16"/>
    <mergeCell ref="E12:F12"/>
    <mergeCell ref="J12:K12"/>
    <mergeCell ref="O12:P12"/>
    <mergeCell ref="Q12:R12"/>
  </mergeCells>
  <phoneticPr fontId="7" type="noConversion"/>
  <dataValidations count="10">
    <dataValidation type="list" allowBlank="1" showInputMessage="1" showErrorMessage="1" sqref="Y16:AB16" xr:uid="{609802CF-B894-4E8B-85FC-13C3F1FD4E2A}">
      <formula1>"Pan Card, Aadhar Card, Driving License, Defense ID card"</formula1>
    </dataValidation>
    <dataValidation allowBlank="1" showInputMessage="1" showErrorMessage="1" prompt="Home Pincode" sqref="Y12:AB12" xr:uid="{46FF381A-4834-4A8E-9674-17788382654E}"/>
    <dataValidation allowBlank="1" showInputMessage="1" showErrorMessage="1" prompt="Customer Permanent Address" sqref="Y10:AB10" xr:uid="{F0394654-BF69-4AF8-BDE0-7A5F07007AB1}"/>
    <dataValidation allowBlank="1" showInputMessage="1" showErrorMessage="1" prompt="Customer Email id" sqref="Y8:AB8" xr:uid="{B99EDED6-077F-484B-92A4-CDE4B77A044E}"/>
    <dataValidation allowBlank="1" showInputMessage="1" showErrorMessage="1" prompt="Date of Leaving" sqref="J14:K14" xr:uid="{22858BD3-3273-474D-9EEC-2092DE6E14DD}"/>
    <dataValidation allowBlank="1" showInputMessage="1" showErrorMessage="1" prompt="Date of Arrival " sqref="J10:K10" xr:uid="{FF0781A3-977C-4350-966B-243BB2A41F14}"/>
    <dataValidation allowBlank="1" showInputMessage="1" showErrorMessage="1" prompt="Customer Name" sqref="J8:K8" xr:uid="{6CF3C8AE-1726-4E9F-AAE3-87F7C4AEBB8E}"/>
    <dataValidation type="list" allowBlank="1" showInputMessage="1" showErrorMessage="1" sqref="J16:K16" xr:uid="{43F020DB-EC61-4129-BBA0-278134E978CA}">
      <formula1>"Unconfirmed, Confirmed, Cancelled, Paid"</formula1>
    </dataValidation>
    <dataValidation type="list" allowBlank="1" showInputMessage="1" showErrorMessage="1" sqref="J12:K12" xr:uid="{219A5BD2-5DAF-4517-8F97-B64224501D4A}">
      <formula1>"AC, Non-AC"</formula1>
    </dataValidation>
    <dataValidation type="list" allowBlank="1" showInputMessage="1" showErrorMessage="1" sqref="Z22:AA22" xr:uid="{213F3300-2C48-4F6F-BD99-23BC59A9AA52}">
      <formula1>"Unconfirmed, Confirmed, Cancelled, Paid,Checked Out"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CEBE8-8F30-4ED6-91F9-AC22EA036C4E}">
  <sheetPr codeName="Sheet2"/>
  <dimension ref="A1:P27"/>
  <sheetViews>
    <sheetView workbookViewId="0">
      <selection activeCell="A2" sqref="A2:XFD27"/>
    </sheetView>
  </sheetViews>
  <sheetFormatPr defaultColWidth="18.5546875" defaultRowHeight="14.4"/>
  <cols>
    <col min="1" max="1" width="18.5546875" style="70"/>
    <col min="2" max="2" width="15.88671875" style="70" customWidth="1"/>
    <col min="3" max="3" width="14.44140625" style="70" customWidth="1"/>
    <col min="4" max="4" width="15.88671875" style="70" customWidth="1"/>
    <col min="5" max="5" width="15.33203125" style="70" customWidth="1"/>
    <col min="6" max="6" width="11.109375" style="70" customWidth="1"/>
    <col min="7" max="7" width="7.88671875" style="70" customWidth="1"/>
    <col min="8" max="8" width="13" style="70" customWidth="1"/>
    <col min="9" max="10" width="11.109375" style="70" customWidth="1"/>
    <col min="11" max="11" width="18.5546875" style="70"/>
    <col min="12" max="12" width="23.109375" style="70" customWidth="1"/>
    <col min="13" max="13" width="14.44140625" style="70" customWidth="1"/>
    <col min="14" max="15" width="18.5546875" style="70"/>
    <col min="16" max="16" width="30.109375" style="70" customWidth="1"/>
    <col min="17" max="16384" width="18.5546875" style="70"/>
  </cols>
  <sheetData>
    <row r="1" spans="1:16" s="67" customFormat="1">
      <c r="A1" s="67" t="s">
        <v>24</v>
      </c>
      <c r="B1" s="67" t="s">
        <v>25</v>
      </c>
      <c r="C1" s="67" t="s">
        <v>54</v>
      </c>
      <c r="D1" s="67" t="s">
        <v>27</v>
      </c>
      <c r="E1" s="67" t="s">
        <v>28</v>
      </c>
      <c r="F1" s="67" t="s">
        <v>29</v>
      </c>
      <c r="G1" s="67" t="s">
        <v>26</v>
      </c>
      <c r="H1" s="67" t="s">
        <v>59</v>
      </c>
      <c r="I1" s="67" t="s">
        <v>30</v>
      </c>
      <c r="J1" s="67" t="s">
        <v>65</v>
      </c>
      <c r="K1" s="67" t="s">
        <v>32</v>
      </c>
      <c r="L1" s="67" t="s">
        <v>33</v>
      </c>
      <c r="M1" s="67" t="s">
        <v>34</v>
      </c>
      <c r="N1" s="67" t="s">
        <v>35</v>
      </c>
      <c r="O1" s="67" t="s">
        <v>36</v>
      </c>
      <c r="P1" s="67" t="s">
        <v>57</v>
      </c>
    </row>
    <row r="2" spans="1:16" s="67" customFormat="1">
      <c r="B2" s="68"/>
      <c r="D2" s="68"/>
      <c r="G2" s="70"/>
      <c r="H2" s="70"/>
      <c r="I2" s="70"/>
      <c r="J2" s="70"/>
      <c r="P2" s="69"/>
    </row>
    <row r="3" spans="1:16">
      <c r="B3" s="68"/>
      <c r="C3" s="67"/>
      <c r="D3" s="68"/>
      <c r="E3" s="67"/>
      <c r="K3" s="71"/>
      <c r="L3" s="67"/>
      <c r="M3" s="67"/>
      <c r="N3" s="67"/>
      <c r="O3" s="67"/>
      <c r="P3" s="69"/>
    </row>
    <row r="4" spans="1:16">
      <c r="B4" s="68"/>
      <c r="C4" s="67"/>
      <c r="D4" s="68"/>
      <c r="E4" s="67"/>
      <c r="F4" s="67"/>
      <c r="K4" s="71"/>
      <c r="L4" s="67"/>
      <c r="M4" s="67"/>
      <c r="N4" s="67"/>
      <c r="O4" s="67"/>
      <c r="P4" s="69"/>
    </row>
    <row r="5" spans="1:16">
      <c r="B5" s="68"/>
      <c r="C5" s="67"/>
      <c r="D5" s="68"/>
      <c r="E5" s="67"/>
      <c r="K5" s="71"/>
      <c r="L5" s="67"/>
      <c r="M5" s="67"/>
      <c r="N5" s="67"/>
      <c r="O5" s="67"/>
      <c r="P5" s="69"/>
    </row>
    <row r="6" spans="1:16">
      <c r="B6" s="68"/>
      <c r="C6" s="67"/>
      <c r="D6" s="68"/>
      <c r="E6" s="67"/>
      <c r="F6" s="67"/>
      <c r="K6" s="71"/>
      <c r="L6" s="67"/>
      <c r="M6" s="67"/>
      <c r="N6" s="67"/>
      <c r="O6" s="67"/>
      <c r="P6" s="69"/>
    </row>
    <row r="7" spans="1:16">
      <c r="B7" s="68"/>
      <c r="C7" s="67"/>
      <c r="D7" s="68"/>
      <c r="E7" s="67"/>
      <c r="K7" s="71"/>
      <c r="L7" s="67"/>
      <c r="M7" s="67"/>
      <c r="N7" s="67"/>
      <c r="O7" s="67"/>
      <c r="P7" s="69"/>
    </row>
    <row r="8" spans="1:16">
      <c r="B8" s="68"/>
      <c r="C8" s="67"/>
      <c r="D8" s="68"/>
      <c r="E8" s="67"/>
      <c r="F8" s="67"/>
      <c r="K8" s="71"/>
      <c r="L8" s="67"/>
      <c r="M8" s="67"/>
      <c r="N8" s="67"/>
      <c r="O8" s="67"/>
      <c r="P8" s="69"/>
    </row>
    <row r="9" spans="1:16">
      <c r="B9" s="68"/>
      <c r="C9" s="67"/>
      <c r="D9" s="68"/>
      <c r="E9" s="67"/>
      <c r="K9" s="71"/>
      <c r="L9" s="67"/>
      <c r="M9" s="67"/>
      <c r="N9" s="67"/>
      <c r="O9" s="67"/>
      <c r="P9" s="69"/>
    </row>
    <row r="10" spans="1:16">
      <c r="B10" s="68"/>
      <c r="C10" s="67"/>
      <c r="D10" s="68"/>
      <c r="E10" s="67"/>
      <c r="F10" s="67"/>
      <c r="K10" s="71"/>
      <c r="L10" s="67"/>
      <c r="M10" s="67"/>
      <c r="N10" s="67"/>
      <c r="O10" s="67"/>
      <c r="P10" s="69"/>
    </row>
    <row r="11" spans="1:16">
      <c r="B11" s="68"/>
      <c r="C11" s="67"/>
      <c r="D11" s="68"/>
      <c r="E11" s="67"/>
      <c r="K11" s="71"/>
      <c r="L11" s="67"/>
      <c r="M11" s="67"/>
      <c r="N11" s="67"/>
      <c r="O11" s="67"/>
      <c r="P11" s="69"/>
    </row>
    <row r="12" spans="1:16">
      <c r="B12" s="68"/>
      <c r="C12" s="67"/>
      <c r="D12" s="68"/>
      <c r="E12" s="67"/>
      <c r="F12" s="67"/>
      <c r="K12" s="71"/>
      <c r="L12" s="67"/>
      <c r="M12" s="67"/>
      <c r="N12" s="67"/>
      <c r="O12" s="67"/>
      <c r="P12" s="69"/>
    </row>
    <row r="13" spans="1:16">
      <c r="B13" s="68"/>
      <c r="C13" s="67"/>
      <c r="D13" s="68"/>
      <c r="E13" s="67"/>
      <c r="K13" s="71"/>
      <c r="L13" s="67"/>
      <c r="M13" s="67"/>
      <c r="N13" s="67"/>
      <c r="O13" s="67"/>
      <c r="P13" s="69"/>
    </row>
    <row r="14" spans="1:16">
      <c r="B14" s="68"/>
      <c r="C14" s="67"/>
      <c r="D14" s="68"/>
      <c r="E14" s="67"/>
      <c r="F14" s="67"/>
      <c r="K14" s="71"/>
      <c r="L14" s="67"/>
      <c r="M14" s="67"/>
      <c r="N14" s="67"/>
      <c r="O14" s="67"/>
      <c r="P14" s="69"/>
    </row>
    <row r="15" spans="1:16">
      <c r="B15" s="68"/>
      <c r="C15" s="67"/>
      <c r="D15" s="68"/>
      <c r="E15" s="67"/>
      <c r="K15" s="71"/>
      <c r="L15" s="67"/>
      <c r="M15" s="67"/>
      <c r="N15" s="67"/>
      <c r="O15" s="67"/>
      <c r="P15" s="69"/>
    </row>
    <row r="16" spans="1:16">
      <c r="B16" s="68"/>
      <c r="C16" s="67"/>
      <c r="D16" s="68"/>
      <c r="E16" s="67"/>
      <c r="F16" s="67"/>
      <c r="K16" s="71"/>
      <c r="L16" s="67"/>
      <c r="M16" s="67"/>
      <c r="N16" s="67"/>
      <c r="O16" s="67"/>
      <c r="P16" s="69"/>
    </row>
    <row r="17" spans="2:16">
      <c r="B17" s="68"/>
      <c r="C17" s="67"/>
      <c r="D17" s="68"/>
      <c r="E17" s="67"/>
      <c r="K17" s="71"/>
      <c r="L17" s="67"/>
      <c r="M17" s="67"/>
      <c r="N17" s="67"/>
      <c r="O17" s="67"/>
      <c r="P17" s="69"/>
    </row>
    <row r="18" spans="2:16">
      <c r="B18" s="68"/>
      <c r="C18" s="67"/>
      <c r="D18" s="68"/>
      <c r="E18" s="67"/>
      <c r="F18" s="67"/>
      <c r="K18" s="71"/>
      <c r="L18" s="67"/>
      <c r="M18" s="67"/>
      <c r="N18" s="67"/>
      <c r="O18" s="67"/>
      <c r="P18" s="69"/>
    </row>
    <row r="19" spans="2:16">
      <c r="B19" s="68"/>
      <c r="C19" s="67"/>
      <c r="D19" s="68"/>
      <c r="E19" s="67"/>
      <c r="K19" s="71"/>
      <c r="L19" s="67"/>
      <c r="M19" s="67"/>
      <c r="N19" s="67"/>
      <c r="O19" s="67"/>
      <c r="P19" s="69"/>
    </row>
    <row r="20" spans="2:16">
      <c r="B20" s="68"/>
      <c r="C20" s="67"/>
      <c r="D20" s="68"/>
      <c r="E20" s="67"/>
      <c r="F20" s="67"/>
      <c r="K20" s="71"/>
      <c r="L20" s="67"/>
      <c r="M20" s="67"/>
      <c r="N20" s="67"/>
      <c r="O20" s="67"/>
      <c r="P20" s="69"/>
    </row>
    <row r="21" spans="2:16">
      <c r="B21" s="68"/>
      <c r="C21" s="67"/>
      <c r="D21" s="68"/>
      <c r="E21" s="67"/>
      <c r="K21" s="71"/>
      <c r="L21" s="67"/>
      <c r="M21" s="67"/>
      <c r="N21" s="67"/>
      <c r="O21" s="67"/>
      <c r="P21" s="69"/>
    </row>
    <row r="22" spans="2:16">
      <c r="B22" s="68"/>
      <c r="C22" s="67"/>
      <c r="D22" s="68"/>
      <c r="E22" s="67"/>
      <c r="F22" s="67"/>
      <c r="K22" s="71"/>
      <c r="L22" s="67"/>
      <c r="M22" s="67"/>
      <c r="N22" s="67"/>
      <c r="O22" s="67"/>
      <c r="P22" s="69"/>
    </row>
    <row r="23" spans="2:16">
      <c r="B23" s="68"/>
      <c r="C23" s="67"/>
      <c r="D23" s="68"/>
      <c r="E23" s="67"/>
      <c r="K23" s="71"/>
      <c r="L23" s="67"/>
      <c r="M23" s="67"/>
      <c r="N23" s="67"/>
      <c r="O23" s="67"/>
      <c r="P23" s="69"/>
    </row>
    <row r="24" spans="2:16">
      <c r="B24" s="73"/>
      <c r="D24" s="73"/>
      <c r="P24" s="72"/>
    </row>
    <row r="25" spans="2:16">
      <c r="B25" s="73"/>
      <c r="D25" s="73"/>
      <c r="P25" s="72"/>
    </row>
    <row r="26" spans="2:16">
      <c r="B26" s="73"/>
      <c r="D26" s="73"/>
      <c r="P26" s="72"/>
    </row>
    <row r="27" spans="2:16">
      <c r="B27" s="73"/>
      <c r="D27" s="73"/>
      <c r="P27" s="7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72AB8-A01C-42A7-96ED-999E0EAB482E}">
  <sheetPr codeName="Sheet3"/>
  <dimension ref="A1:J41"/>
  <sheetViews>
    <sheetView showGridLines="0" topLeftCell="A10" zoomScale="80" workbookViewId="0">
      <selection activeCell="C13" sqref="C13"/>
    </sheetView>
  </sheetViews>
  <sheetFormatPr defaultColWidth="0" defaultRowHeight="14.4" zeroHeight="1"/>
  <cols>
    <col min="1" max="1" width="20.5546875" customWidth="1"/>
    <col min="2" max="2" width="1.44140625" customWidth="1"/>
    <col min="3" max="4" width="20.5546875" customWidth="1"/>
    <col min="5" max="5" width="11.33203125" customWidth="1"/>
    <col min="6" max="6" width="18.6640625" customWidth="1"/>
    <col min="7" max="7" width="25.44140625" customWidth="1"/>
    <col min="8" max="8" width="20.5546875" customWidth="1"/>
    <col min="9" max="9" width="1.33203125" customWidth="1"/>
    <col min="10" max="10" width="20.5546875" customWidth="1"/>
    <col min="11" max="16384" width="20.5546875" hidden="1"/>
  </cols>
  <sheetData>
    <row r="1" spans="2:10"/>
    <row r="2" spans="2:10" ht="28.2">
      <c r="B2" s="13"/>
      <c r="C2" s="14"/>
      <c r="D2" s="15"/>
      <c r="E2" s="15"/>
      <c r="F2" s="15"/>
      <c r="G2" s="15"/>
      <c r="H2" s="16"/>
      <c r="I2" s="17"/>
    </row>
    <row r="3" spans="2:10" ht="6" customHeight="1">
      <c r="B3" s="13"/>
      <c r="C3" s="18"/>
      <c r="D3" s="19"/>
      <c r="E3" s="19"/>
      <c r="F3" s="19"/>
      <c r="G3" s="19"/>
      <c r="H3" s="20"/>
      <c r="I3" s="17"/>
    </row>
    <row r="4" spans="2:10" ht="41.25" customHeight="1">
      <c r="B4" s="24"/>
      <c r="C4" s="177" t="s">
        <v>40</v>
      </c>
      <c r="D4" s="178"/>
      <c r="E4" s="61"/>
      <c r="F4" s="21"/>
      <c r="G4" s="22"/>
      <c r="H4" s="23"/>
      <c r="I4" s="27"/>
    </row>
    <row r="5" spans="2:10" ht="20.399999999999999">
      <c r="B5" s="25"/>
      <c r="C5" s="39" t="s">
        <v>52</v>
      </c>
      <c r="D5" s="5"/>
      <c r="E5" s="5"/>
      <c r="F5" s="6"/>
      <c r="G5" s="63" t="s">
        <v>14</v>
      </c>
      <c r="H5" s="58">
        <v>44471</v>
      </c>
      <c r="I5" s="28"/>
      <c r="J5" s="1"/>
    </row>
    <row r="6" spans="2:10" ht="20.399999999999999">
      <c r="B6" s="25"/>
      <c r="C6" s="39" t="s">
        <v>53</v>
      </c>
      <c r="D6" s="5"/>
      <c r="E6" s="5"/>
      <c r="F6" s="7"/>
      <c r="G6" s="56"/>
      <c r="H6" s="8"/>
      <c r="I6" s="29"/>
      <c r="J6" s="1"/>
    </row>
    <row r="7" spans="2:10" ht="20.399999999999999">
      <c r="B7" s="25"/>
      <c r="C7" s="39">
        <v>140001</v>
      </c>
      <c r="D7" s="5"/>
      <c r="E7" s="5"/>
      <c r="F7" s="6"/>
      <c r="G7" s="56" t="s">
        <v>56</v>
      </c>
      <c r="H7" s="57">
        <v>250</v>
      </c>
      <c r="I7" s="28"/>
      <c r="J7" s="1"/>
    </row>
    <row r="8" spans="2:10" ht="20.399999999999999">
      <c r="B8" s="25"/>
      <c r="C8" s="39" t="s">
        <v>51</v>
      </c>
      <c r="D8" s="5"/>
      <c r="E8" s="5"/>
      <c r="F8" s="9"/>
      <c r="G8" s="55"/>
      <c r="H8" s="9"/>
      <c r="I8" s="28"/>
      <c r="J8" s="1"/>
    </row>
    <row r="9" spans="2:10" ht="15">
      <c r="B9" s="25"/>
      <c r="C9" s="38" t="s">
        <v>50</v>
      </c>
      <c r="D9" s="5"/>
      <c r="E9" s="5"/>
      <c r="F9" s="5"/>
      <c r="G9" s="53"/>
      <c r="I9" s="28"/>
      <c r="J9" s="1"/>
    </row>
    <row r="10" spans="2:10" ht="15">
      <c r="B10" s="25"/>
      <c r="C10" s="10"/>
      <c r="D10" s="5"/>
      <c r="E10" s="5"/>
      <c r="F10" s="5"/>
      <c r="G10" s="54"/>
      <c r="I10" s="30"/>
      <c r="J10" s="1"/>
    </row>
    <row r="11" spans="2:10" ht="15">
      <c r="B11" s="25"/>
      <c r="D11" s="5"/>
      <c r="E11" s="5"/>
      <c r="F11" s="3"/>
      <c r="G11" s="4"/>
      <c r="H11" s="4"/>
      <c r="I11" s="31"/>
      <c r="J11" s="1"/>
    </row>
    <row r="12" spans="2:10" ht="15.6">
      <c r="B12" s="25"/>
      <c r="C12" s="40" t="s">
        <v>41</v>
      </c>
      <c r="D12" s="5"/>
      <c r="E12" s="5"/>
      <c r="F12" s="5"/>
      <c r="G12" s="5"/>
      <c r="H12" s="5"/>
      <c r="I12" s="31"/>
      <c r="J12" s="1"/>
    </row>
    <row r="13" spans="2:10" ht="15">
      <c r="B13" s="25"/>
      <c r="C13" s="41" t="s">
        <v>66</v>
      </c>
      <c r="D13" s="12"/>
      <c r="E13" s="12"/>
      <c r="F13" s="11"/>
      <c r="G13" s="11"/>
      <c r="H13" s="11"/>
      <c r="I13" s="32"/>
      <c r="J13" s="1"/>
    </row>
    <row r="14" spans="2:10">
      <c r="B14" s="25"/>
      <c r="C14" s="42" t="s">
        <v>68</v>
      </c>
      <c r="D14" s="12"/>
      <c r="E14" s="12"/>
      <c r="F14" s="11"/>
      <c r="G14" s="11"/>
      <c r="H14" s="11"/>
      <c r="I14" s="32"/>
      <c r="J14" s="1"/>
    </row>
    <row r="15" spans="2:10">
      <c r="B15" s="25"/>
      <c r="C15" s="42">
        <v>123</v>
      </c>
      <c r="D15" s="12"/>
      <c r="E15" s="12"/>
      <c r="F15" s="11"/>
      <c r="G15" s="11"/>
      <c r="H15" s="11"/>
      <c r="I15" s="32"/>
      <c r="J15" s="1"/>
    </row>
    <row r="16" spans="2:10">
      <c r="B16" s="25"/>
      <c r="C16" s="42" t="s">
        <v>67</v>
      </c>
      <c r="D16" s="12"/>
      <c r="E16" s="12"/>
      <c r="F16" s="11"/>
      <c r="G16" s="11"/>
      <c r="H16" s="11"/>
      <c r="I16" s="32"/>
      <c r="J16" s="1"/>
    </row>
    <row r="17" spans="2:10">
      <c r="B17" s="25"/>
      <c r="C17" s="42"/>
      <c r="D17" s="12"/>
      <c r="E17" s="12"/>
      <c r="F17" s="11"/>
      <c r="G17" s="11"/>
      <c r="H17" s="11"/>
      <c r="I17" s="32"/>
      <c r="J17" s="1"/>
    </row>
    <row r="18" spans="2:10">
      <c r="B18" s="25"/>
      <c r="C18" s="11"/>
      <c r="D18" s="12"/>
      <c r="E18" s="12"/>
      <c r="F18" s="12"/>
      <c r="I18" s="28"/>
      <c r="J18" s="1"/>
    </row>
    <row r="19" spans="2:10">
      <c r="B19" s="25"/>
      <c r="C19" s="179" t="s">
        <v>42</v>
      </c>
      <c r="D19" s="180"/>
      <c r="E19" s="43" t="s">
        <v>55</v>
      </c>
      <c r="F19" s="43" t="s">
        <v>25</v>
      </c>
      <c r="G19" s="43" t="s">
        <v>27</v>
      </c>
      <c r="H19" s="43" t="s">
        <v>43</v>
      </c>
      <c r="I19" s="31"/>
      <c r="J19" s="1"/>
    </row>
    <row r="20" spans="2:10">
      <c r="B20" s="25"/>
      <c r="C20" s="60"/>
      <c r="D20" s="60"/>
      <c r="E20" s="60"/>
      <c r="F20" s="60"/>
      <c r="G20" s="60"/>
      <c r="H20" s="2"/>
      <c r="I20" s="28"/>
      <c r="J20" s="1"/>
    </row>
    <row r="21" spans="2:10">
      <c r="B21" s="25"/>
      <c r="C21" s="44" t="s">
        <v>66</v>
      </c>
      <c r="D21" s="59">
        <v>250</v>
      </c>
      <c r="E21" s="59" t="s">
        <v>63</v>
      </c>
      <c r="F21" s="64">
        <v>44471</v>
      </c>
      <c r="G21" s="64">
        <v>44473</v>
      </c>
      <c r="H21" s="45">
        <v>200</v>
      </c>
      <c r="I21" s="33"/>
      <c r="J21" s="1"/>
    </row>
    <row r="22" spans="2:10">
      <c r="B22" s="25"/>
      <c r="C22" s="46"/>
      <c r="D22" s="46"/>
      <c r="E22" s="46"/>
      <c r="F22" s="65"/>
      <c r="G22" s="65"/>
      <c r="H22" s="47">
        <f t="shared" ref="H22:H31" si="0">F22*G22</f>
        <v>0</v>
      </c>
      <c r="I22" s="33"/>
      <c r="J22" s="1"/>
    </row>
    <row r="23" spans="2:10">
      <c r="B23" s="25"/>
      <c r="C23" s="44"/>
      <c r="D23" s="59"/>
      <c r="E23" s="59"/>
      <c r="F23" s="64"/>
      <c r="G23" s="64"/>
      <c r="H23" s="45">
        <f t="shared" si="0"/>
        <v>0</v>
      </c>
      <c r="I23" s="33"/>
      <c r="J23" s="1"/>
    </row>
    <row r="24" spans="2:10">
      <c r="B24" s="25"/>
      <c r="C24" s="46"/>
      <c r="D24" s="46"/>
      <c r="E24" s="46"/>
      <c r="F24" s="65"/>
      <c r="G24" s="65"/>
      <c r="H24" s="47">
        <f t="shared" si="0"/>
        <v>0</v>
      </c>
      <c r="I24" s="33"/>
      <c r="J24" s="1"/>
    </row>
    <row r="25" spans="2:10">
      <c r="B25" s="25"/>
      <c r="C25" s="44"/>
      <c r="D25" s="59"/>
      <c r="E25" s="59"/>
      <c r="F25" s="64"/>
      <c r="G25" s="64"/>
      <c r="H25" s="45">
        <f t="shared" si="0"/>
        <v>0</v>
      </c>
      <c r="I25" s="33"/>
      <c r="J25" s="1"/>
    </row>
    <row r="26" spans="2:10">
      <c r="B26" s="25"/>
      <c r="C26" s="46"/>
      <c r="D26" s="46"/>
      <c r="E26" s="46"/>
      <c r="F26" s="65"/>
      <c r="G26" s="65"/>
      <c r="H26" s="47">
        <f t="shared" si="0"/>
        <v>0</v>
      </c>
      <c r="I26" s="33"/>
      <c r="J26" s="1"/>
    </row>
    <row r="27" spans="2:10">
      <c r="B27" s="25"/>
      <c r="C27" s="44"/>
      <c r="D27" s="59"/>
      <c r="E27" s="59"/>
      <c r="F27" s="64"/>
      <c r="G27" s="64"/>
      <c r="H27" s="45">
        <f t="shared" si="0"/>
        <v>0</v>
      </c>
      <c r="I27" s="33"/>
      <c r="J27" s="1"/>
    </row>
    <row r="28" spans="2:10">
      <c r="B28" s="25"/>
      <c r="C28" s="46"/>
      <c r="D28" s="46"/>
      <c r="E28" s="46"/>
      <c r="F28" s="65"/>
      <c r="G28" s="65"/>
      <c r="H28" s="47">
        <f t="shared" si="0"/>
        <v>0</v>
      </c>
      <c r="I28" s="33"/>
      <c r="J28" s="1"/>
    </row>
    <row r="29" spans="2:10">
      <c r="B29" s="25"/>
      <c r="C29" s="44"/>
      <c r="D29" s="59"/>
      <c r="E29" s="59"/>
      <c r="F29" s="64"/>
      <c r="G29" s="64"/>
      <c r="H29" s="45">
        <f t="shared" si="0"/>
        <v>0</v>
      </c>
      <c r="I29" s="33"/>
      <c r="J29" s="1"/>
    </row>
    <row r="30" spans="2:10">
      <c r="B30" s="25"/>
      <c r="C30" s="46"/>
      <c r="D30" s="46"/>
      <c r="E30" s="46"/>
      <c r="F30" s="65"/>
      <c r="G30" s="65"/>
      <c r="H30" s="47">
        <f t="shared" si="0"/>
        <v>0</v>
      </c>
      <c r="I30" s="33"/>
      <c r="J30" s="1"/>
    </row>
    <row r="31" spans="2:10">
      <c r="B31" s="25"/>
      <c r="C31" s="44"/>
      <c r="D31" s="59"/>
      <c r="E31" s="59"/>
      <c r="F31" s="64"/>
      <c r="G31" s="64"/>
      <c r="H31" s="45">
        <f t="shared" si="0"/>
        <v>0</v>
      </c>
      <c r="I31" s="33"/>
    </row>
    <row r="32" spans="2:10" ht="22.8">
      <c r="B32" s="25"/>
      <c r="C32" s="48" t="s">
        <v>44</v>
      </c>
      <c r="D32" s="49"/>
      <c r="E32" s="49"/>
      <c r="F32" s="50"/>
      <c r="G32" s="51" t="s">
        <v>45</v>
      </c>
      <c r="H32" s="45">
        <f>SUM(H21:H31)</f>
        <v>200</v>
      </c>
      <c r="I32" s="34"/>
    </row>
    <row r="33" spans="2:9" ht="15.6">
      <c r="B33" s="25"/>
      <c r="C33" s="174"/>
      <c r="D33" s="175"/>
      <c r="E33" s="62"/>
      <c r="F33" s="50"/>
      <c r="G33" s="52" t="s">
        <v>46</v>
      </c>
      <c r="H33" s="45">
        <v>0</v>
      </c>
      <c r="I33" s="34"/>
    </row>
    <row r="34" spans="2:9" ht="15.6">
      <c r="B34" s="25"/>
      <c r="C34" s="175"/>
      <c r="D34" s="175"/>
      <c r="E34" s="62"/>
      <c r="F34" s="50"/>
      <c r="G34" s="52" t="s">
        <v>47</v>
      </c>
      <c r="H34" s="45">
        <v>50</v>
      </c>
      <c r="I34" s="34"/>
    </row>
    <row r="35" spans="2:9" ht="15.6">
      <c r="B35" s="25"/>
      <c r="C35" s="175"/>
      <c r="D35" s="175"/>
      <c r="E35" s="62"/>
      <c r="F35" s="50"/>
      <c r="G35" s="52" t="s">
        <v>48</v>
      </c>
      <c r="H35" s="66">
        <v>0.2</v>
      </c>
      <c r="I35" s="35"/>
    </row>
    <row r="36" spans="2:9" ht="15.6">
      <c r="B36" s="25"/>
      <c r="C36" s="175"/>
      <c r="D36" s="175"/>
      <c r="E36" s="62"/>
      <c r="F36" s="50"/>
      <c r="G36" s="52" t="s">
        <v>49</v>
      </c>
      <c r="H36" s="45">
        <f>H34*H35</f>
        <v>10</v>
      </c>
      <c r="I36" s="34"/>
    </row>
    <row r="37" spans="2:9" ht="15.6">
      <c r="B37" s="25"/>
      <c r="C37" s="175"/>
      <c r="D37" s="175"/>
      <c r="E37" s="62"/>
      <c r="F37" s="50"/>
      <c r="G37" s="171" t="s">
        <v>31</v>
      </c>
      <c r="H37" s="173">
        <f>H34+H36+H32</f>
        <v>260</v>
      </c>
      <c r="I37" s="36"/>
    </row>
    <row r="38" spans="2:9" ht="22.8">
      <c r="B38" s="25"/>
      <c r="C38" s="176"/>
      <c r="D38" s="175"/>
      <c r="E38" s="62"/>
      <c r="F38" s="50"/>
      <c r="G38" s="172"/>
      <c r="H38" s="173"/>
      <c r="I38" s="37"/>
    </row>
    <row r="39" spans="2:9">
      <c r="B39" s="25"/>
      <c r="I39" s="25"/>
    </row>
    <row r="40" spans="2:9" ht="7.5" customHeight="1">
      <c r="B40" s="26"/>
      <c r="C40" s="22"/>
      <c r="D40" s="22"/>
      <c r="E40" s="22"/>
      <c r="F40" s="22"/>
      <c r="G40" s="22"/>
      <c r="H40" s="22"/>
      <c r="I40" s="26"/>
    </row>
    <row r="41" spans="2:9"/>
  </sheetData>
  <mergeCells count="6">
    <mergeCell ref="G37:G38"/>
    <mergeCell ref="H37:H38"/>
    <mergeCell ref="C33:D37"/>
    <mergeCell ref="C38:D38"/>
    <mergeCell ref="C4:D4"/>
    <mergeCell ref="C19:D19"/>
  </mergeCells>
  <phoneticPr fontId="7" type="noConversion"/>
  <hyperlinks>
    <hyperlink ref="C9" r:id="rId1" xr:uid="{C8B6D3BD-CDF3-44B2-BA16-7CBD2004EC05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1AE7D-1EF4-47CB-A540-234781DD7948}">
  <sheetPr codeName="Sheet1"/>
  <dimension ref="A1:AI96"/>
  <sheetViews>
    <sheetView zoomScale="94" zoomScaleNormal="100" workbookViewId="0">
      <selection activeCell="I1" sqref="I1:I1048576"/>
    </sheetView>
  </sheetViews>
  <sheetFormatPr defaultColWidth="18.5546875" defaultRowHeight="14.4"/>
  <cols>
    <col min="1" max="1" width="18.5546875" style="70"/>
    <col min="2" max="2" width="15.88671875" style="70" customWidth="1"/>
    <col min="3" max="3" width="14.44140625" style="70" customWidth="1"/>
    <col min="4" max="4" width="15.88671875" style="70" customWidth="1"/>
    <col min="5" max="5" width="15.33203125" style="70" customWidth="1"/>
    <col min="6" max="6" width="11.109375" style="70" customWidth="1"/>
    <col min="7" max="7" width="7.88671875" style="70" customWidth="1"/>
    <col min="8" max="8" width="13" style="70" customWidth="1"/>
    <col min="9" max="10" width="11.109375" style="70" customWidth="1"/>
    <col min="11" max="11" width="18.5546875" style="70"/>
    <col min="12" max="12" width="23.109375" style="70" customWidth="1"/>
    <col min="13" max="13" width="14.44140625" style="70" customWidth="1"/>
    <col min="14" max="15" width="18.5546875" style="70"/>
    <col min="16" max="16" width="30.109375" style="70" customWidth="1"/>
    <col min="17" max="23" width="18.5546875" style="70"/>
    <col min="24" max="24" width="13.5546875" style="70" bestFit="1" customWidth="1"/>
    <col min="25" max="25" width="11.6640625" style="70" bestFit="1" customWidth="1"/>
    <col min="26" max="27" width="18.5546875" style="70"/>
    <col min="28" max="28" width="13.109375" style="70" bestFit="1" customWidth="1"/>
    <col min="29" max="29" width="11.44140625" style="70" bestFit="1" customWidth="1"/>
    <col min="30" max="32" width="18.5546875" style="70"/>
    <col min="33" max="33" width="13.109375" style="70" bestFit="1" customWidth="1"/>
    <col min="34" max="34" width="11.44140625" style="70" bestFit="1" customWidth="1"/>
    <col min="35" max="16384" width="18.5546875" style="70"/>
  </cols>
  <sheetData>
    <row r="1" spans="1:35" s="67" customFormat="1">
      <c r="A1" s="67" t="s">
        <v>24</v>
      </c>
      <c r="B1" s="67" t="s">
        <v>25</v>
      </c>
      <c r="C1" s="67" t="s">
        <v>54</v>
      </c>
      <c r="D1" s="67" t="s">
        <v>27</v>
      </c>
      <c r="E1" s="67" t="s">
        <v>28</v>
      </c>
      <c r="F1" s="67" t="s">
        <v>29</v>
      </c>
      <c r="G1" s="67" t="s">
        <v>26</v>
      </c>
      <c r="H1" s="67" t="s">
        <v>59</v>
      </c>
      <c r="I1" s="67" t="s">
        <v>30</v>
      </c>
      <c r="J1" s="67" t="s">
        <v>65</v>
      </c>
      <c r="K1" s="67" t="s">
        <v>32</v>
      </c>
      <c r="L1" s="67" t="s">
        <v>33</v>
      </c>
      <c r="M1" s="67" t="s">
        <v>34</v>
      </c>
      <c r="N1" s="67" t="s">
        <v>35</v>
      </c>
      <c r="O1" s="67" t="s">
        <v>36</v>
      </c>
      <c r="P1" s="67" t="s">
        <v>57</v>
      </c>
      <c r="Q1" s="67" t="s">
        <v>59</v>
      </c>
    </row>
    <row r="2" spans="1:35" s="67" customFormat="1">
      <c r="B2" s="68"/>
      <c r="D2" s="68"/>
      <c r="G2" s="70"/>
      <c r="H2" s="70"/>
      <c r="I2" s="70"/>
      <c r="J2" s="70"/>
      <c r="P2" s="69"/>
      <c r="Q2" s="74"/>
    </row>
    <row r="3" spans="1:35">
      <c r="B3" s="68"/>
      <c r="C3" s="67"/>
      <c r="D3" s="68"/>
      <c r="E3" s="67"/>
      <c r="K3" s="71"/>
      <c r="L3" s="67"/>
      <c r="M3" s="67"/>
      <c r="N3" s="67"/>
      <c r="O3" s="67"/>
      <c r="P3" s="69"/>
      <c r="Q3" s="74"/>
    </row>
    <row r="4" spans="1:35">
      <c r="B4" s="68"/>
      <c r="C4" s="67"/>
      <c r="D4" s="68"/>
      <c r="E4" s="67"/>
      <c r="F4" s="67"/>
      <c r="K4" s="71"/>
      <c r="L4" s="67"/>
      <c r="M4" s="67"/>
      <c r="N4" s="67"/>
      <c r="O4" s="67"/>
      <c r="P4" s="69"/>
      <c r="Q4" s="74"/>
    </row>
    <row r="5" spans="1:35">
      <c r="B5" s="68"/>
      <c r="C5" s="67"/>
      <c r="D5" s="68"/>
      <c r="E5" s="67"/>
      <c r="K5" s="71"/>
      <c r="L5" s="67"/>
      <c r="M5" s="67"/>
      <c r="N5" s="67"/>
      <c r="O5" s="67"/>
      <c r="P5" s="69"/>
      <c r="Q5" s="74"/>
      <c r="AB5"/>
      <c r="AC5"/>
      <c r="AD5"/>
    </row>
    <row r="6" spans="1:35">
      <c r="B6" s="68"/>
      <c r="C6" s="67"/>
      <c r="D6" s="68"/>
      <c r="E6" s="67"/>
      <c r="F6" s="67"/>
      <c r="K6" s="71"/>
      <c r="L6" s="67"/>
      <c r="M6" s="67"/>
      <c r="N6" s="67"/>
      <c r="O6" s="67"/>
      <c r="P6" s="69"/>
      <c r="Q6" s="74"/>
      <c r="AB6"/>
      <c r="AC6"/>
      <c r="AD6"/>
    </row>
    <row r="7" spans="1:35">
      <c r="B7" s="68"/>
      <c r="C7" s="67"/>
      <c r="D7" s="68"/>
      <c r="E7" s="67"/>
      <c r="K7" s="71"/>
      <c r="L7" s="67"/>
      <c r="M7" s="67"/>
      <c r="N7" s="67"/>
      <c r="O7" s="67"/>
      <c r="P7" s="69"/>
      <c r="Q7" s="74"/>
      <c r="AB7"/>
      <c r="AC7"/>
      <c r="AD7"/>
      <c r="AG7"/>
      <c r="AH7"/>
      <c r="AI7"/>
    </row>
    <row r="8" spans="1:35">
      <c r="B8" s="68"/>
      <c r="C8" s="67"/>
      <c r="D8" s="68"/>
      <c r="E8" s="67"/>
      <c r="F8" s="67"/>
      <c r="K8" s="71"/>
      <c r="L8" s="67"/>
      <c r="M8" s="67"/>
      <c r="N8" s="67"/>
      <c r="O8" s="67"/>
      <c r="P8" s="69"/>
      <c r="Q8" s="74"/>
      <c r="AB8"/>
      <c r="AC8"/>
      <c r="AD8"/>
      <c r="AG8"/>
      <c r="AH8"/>
      <c r="AI8"/>
    </row>
    <row r="9" spans="1:35">
      <c r="B9" s="68"/>
      <c r="C9" s="67"/>
      <c r="D9" s="68"/>
      <c r="E9" s="67"/>
      <c r="K9" s="71"/>
      <c r="L9" s="67"/>
      <c r="M9" s="67"/>
      <c r="N9" s="67"/>
      <c r="O9" s="67"/>
      <c r="P9" s="69"/>
      <c r="Q9" s="74"/>
      <c r="AB9"/>
      <c r="AC9"/>
      <c r="AD9"/>
      <c r="AG9"/>
      <c r="AH9"/>
      <c r="AI9"/>
    </row>
    <row r="10" spans="1:35">
      <c r="B10" s="68"/>
      <c r="C10" s="67"/>
      <c r="D10" s="68"/>
      <c r="E10" s="67"/>
      <c r="F10" s="67"/>
      <c r="K10" s="71"/>
      <c r="L10" s="67"/>
      <c r="M10" s="67"/>
      <c r="N10" s="67"/>
      <c r="O10" s="67"/>
      <c r="P10" s="69"/>
      <c r="Q10" s="74"/>
      <c r="X10"/>
      <c r="Y10"/>
      <c r="Z10"/>
      <c r="AB10"/>
      <c r="AC10"/>
      <c r="AD10"/>
      <c r="AG10"/>
      <c r="AH10"/>
      <c r="AI10"/>
    </row>
    <row r="11" spans="1:35">
      <c r="B11" s="68"/>
      <c r="C11" s="67"/>
      <c r="D11" s="68"/>
      <c r="E11" s="67"/>
      <c r="K11" s="71"/>
      <c r="L11" s="67"/>
      <c r="M11" s="67"/>
      <c r="N11" s="67"/>
      <c r="O11" s="67"/>
      <c r="P11" s="69"/>
      <c r="Q11" s="74"/>
      <c r="X11"/>
      <c r="Y11"/>
      <c r="Z11"/>
      <c r="AB11"/>
      <c r="AC11"/>
      <c r="AD11"/>
      <c r="AG11"/>
      <c r="AH11"/>
      <c r="AI11"/>
    </row>
    <row r="12" spans="1:35">
      <c r="B12" s="68"/>
      <c r="C12" s="67"/>
      <c r="D12" s="68"/>
      <c r="E12" s="67"/>
      <c r="F12" s="67"/>
      <c r="K12" s="71"/>
      <c r="L12" s="67"/>
      <c r="M12" s="67"/>
      <c r="N12" s="67"/>
      <c r="O12" s="67"/>
      <c r="P12" s="69"/>
      <c r="Q12" s="74"/>
      <c r="X12"/>
      <c r="Y12"/>
      <c r="Z12"/>
      <c r="AB12"/>
      <c r="AC12"/>
      <c r="AD12"/>
      <c r="AG12"/>
      <c r="AH12"/>
      <c r="AI12"/>
    </row>
    <row r="13" spans="1:35">
      <c r="B13" s="68"/>
      <c r="C13" s="67"/>
      <c r="D13" s="68"/>
      <c r="E13" s="67"/>
      <c r="K13" s="71"/>
      <c r="L13" s="67"/>
      <c r="M13" s="67"/>
      <c r="N13" s="67"/>
      <c r="O13" s="67"/>
      <c r="P13" s="69"/>
      <c r="Q13" s="74"/>
      <c r="X13"/>
      <c r="Y13"/>
      <c r="Z13"/>
      <c r="AB13"/>
      <c r="AC13"/>
      <c r="AD13"/>
      <c r="AG13"/>
      <c r="AH13"/>
      <c r="AI13"/>
    </row>
    <row r="14" spans="1:35">
      <c r="B14" s="68"/>
      <c r="C14" s="67"/>
      <c r="D14" s="68"/>
      <c r="E14" s="67"/>
      <c r="F14" s="67"/>
      <c r="K14" s="71"/>
      <c r="L14" s="67"/>
      <c r="M14" s="67"/>
      <c r="N14" s="67"/>
      <c r="O14" s="67"/>
      <c r="P14" s="69"/>
      <c r="Q14" s="74"/>
      <c r="X14"/>
      <c r="Y14"/>
      <c r="Z14"/>
      <c r="AB14"/>
      <c r="AC14"/>
      <c r="AD14"/>
      <c r="AG14"/>
      <c r="AH14"/>
      <c r="AI14"/>
    </row>
    <row r="15" spans="1:35">
      <c r="B15" s="68"/>
      <c r="C15" s="67"/>
      <c r="D15" s="68"/>
      <c r="E15" s="67"/>
      <c r="K15" s="71"/>
      <c r="L15" s="67"/>
      <c r="M15" s="67"/>
      <c r="N15" s="67"/>
      <c r="O15" s="67"/>
      <c r="P15" s="69"/>
      <c r="Q15" s="74"/>
      <c r="X15"/>
      <c r="Y15"/>
      <c r="Z15"/>
      <c r="AB15"/>
      <c r="AC15"/>
      <c r="AD15"/>
      <c r="AG15"/>
      <c r="AH15"/>
      <c r="AI15"/>
    </row>
    <row r="16" spans="1:35">
      <c r="B16" s="68"/>
      <c r="C16" s="67"/>
      <c r="D16" s="68"/>
      <c r="E16" s="67"/>
      <c r="F16" s="67"/>
      <c r="K16" s="71"/>
      <c r="L16" s="67"/>
      <c r="M16" s="67"/>
      <c r="N16" s="67"/>
      <c r="O16" s="67"/>
      <c r="P16" s="69"/>
      <c r="Q16" s="74"/>
      <c r="X16"/>
      <c r="Y16"/>
      <c r="Z16"/>
      <c r="AB16"/>
      <c r="AC16"/>
      <c r="AD16"/>
      <c r="AG16"/>
      <c r="AH16"/>
      <c r="AI16"/>
    </row>
    <row r="17" spans="2:35">
      <c r="B17" s="68"/>
      <c r="C17" s="67"/>
      <c r="D17" s="68"/>
      <c r="E17" s="67"/>
      <c r="K17" s="71"/>
      <c r="L17" s="67"/>
      <c r="M17" s="67"/>
      <c r="N17" s="67"/>
      <c r="O17" s="67"/>
      <c r="P17" s="69"/>
      <c r="Q17" s="74"/>
      <c r="X17"/>
      <c r="Y17"/>
      <c r="Z17"/>
      <c r="AB17"/>
      <c r="AC17"/>
      <c r="AD17"/>
      <c r="AG17"/>
      <c r="AH17"/>
      <c r="AI17"/>
    </row>
    <row r="18" spans="2:35">
      <c r="B18" s="68"/>
      <c r="C18" s="67"/>
      <c r="D18" s="68"/>
      <c r="E18" s="67"/>
      <c r="F18" s="67"/>
      <c r="K18" s="71"/>
      <c r="L18" s="67"/>
      <c r="M18" s="67"/>
      <c r="N18" s="67"/>
      <c r="O18" s="67"/>
      <c r="P18" s="69"/>
      <c r="Q18" s="74"/>
      <c r="X18"/>
      <c r="Y18"/>
      <c r="Z18"/>
      <c r="AB18"/>
      <c r="AC18"/>
      <c r="AD18"/>
      <c r="AG18"/>
      <c r="AH18"/>
      <c r="AI18"/>
    </row>
    <row r="19" spans="2:35">
      <c r="B19" s="68"/>
      <c r="C19" s="67"/>
      <c r="D19" s="68"/>
      <c r="E19" s="67"/>
      <c r="K19" s="71"/>
      <c r="L19" s="67"/>
      <c r="M19" s="67"/>
      <c r="N19" s="67"/>
      <c r="O19" s="67"/>
      <c r="P19" s="69"/>
      <c r="Q19" s="74"/>
      <c r="X19"/>
      <c r="Y19"/>
      <c r="Z19"/>
      <c r="AB19"/>
      <c r="AC19"/>
      <c r="AD19"/>
      <c r="AG19"/>
      <c r="AH19"/>
      <c r="AI19"/>
    </row>
    <row r="20" spans="2:35">
      <c r="B20" s="68"/>
      <c r="C20" s="67"/>
      <c r="D20" s="68"/>
      <c r="E20" s="67"/>
      <c r="F20" s="67"/>
      <c r="K20" s="71"/>
      <c r="L20" s="67"/>
      <c r="M20" s="67"/>
      <c r="N20" s="67"/>
      <c r="O20" s="67"/>
      <c r="P20" s="69"/>
      <c r="Q20" s="74"/>
      <c r="X20"/>
      <c r="Y20"/>
      <c r="Z20"/>
      <c r="AB20"/>
      <c r="AC20"/>
      <c r="AD20"/>
      <c r="AG20"/>
      <c r="AH20"/>
      <c r="AI20"/>
    </row>
    <row r="21" spans="2:35">
      <c r="B21" s="68"/>
      <c r="C21" s="67"/>
      <c r="D21" s="68"/>
      <c r="E21" s="67"/>
      <c r="K21" s="71"/>
      <c r="L21" s="67"/>
      <c r="M21" s="67"/>
      <c r="N21" s="67"/>
      <c r="O21" s="67"/>
      <c r="P21" s="69"/>
      <c r="Q21" s="74"/>
      <c r="X21"/>
      <c r="Y21"/>
      <c r="Z21"/>
      <c r="AB21"/>
      <c r="AC21"/>
      <c r="AD21"/>
      <c r="AG21"/>
      <c r="AH21"/>
      <c r="AI21"/>
    </row>
    <row r="22" spans="2:35">
      <c r="B22" s="68"/>
      <c r="C22" s="67"/>
      <c r="D22" s="68"/>
      <c r="E22" s="67"/>
      <c r="F22" s="67"/>
      <c r="K22" s="71"/>
      <c r="L22" s="67"/>
      <c r="M22" s="67"/>
      <c r="N22" s="67"/>
      <c r="O22" s="67"/>
      <c r="P22" s="69"/>
      <c r="Q22" s="74"/>
      <c r="X22"/>
      <c r="Y22"/>
      <c r="Z22"/>
      <c r="AB22"/>
      <c r="AC22"/>
      <c r="AD22"/>
      <c r="AG22"/>
      <c r="AH22"/>
      <c r="AI22"/>
    </row>
    <row r="23" spans="2:35">
      <c r="B23" s="68"/>
      <c r="C23" s="67"/>
      <c r="D23" s="68"/>
      <c r="E23" s="67"/>
      <c r="K23" s="71"/>
      <c r="L23" s="67"/>
      <c r="M23" s="67"/>
      <c r="N23" s="67"/>
      <c r="O23" s="67"/>
      <c r="P23" s="69"/>
      <c r="Q23" s="74"/>
      <c r="X23"/>
      <c r="Y23"/>
      <c r="Z23"/>
      <c r="AB23"/>
      <c r="AG23"/>
      <c r="AH23"/>
      <c r="AI23"/>
    </row>
    <row r="24" spans="2:35">
      <c r="B24" s="68"/>
      <c r="C24" s="67"/>
      <c r="D24" s="68"/>
      <c r="E24" s="67"/>
      <c r="K24" s="71"/>
      <c r="L24" s="67"/>
      <c r="M24" s="67"/>
      <c r="N24" s="67"/>
      <c r="O24" s="67"/>
      <c r="P24" s="69"/>
      <c r="Q24" s="74"/>
      <c r="X24"/>
      <c r="Y24"/>
      <c r="Z24"/>
      <c r="AB24"/>
      <c r="AG24"/>
      <c r="AH24"/>
      <c r="AI24"/>
    </row>
    <row r="25" spans="2:35">
      <c r="B25" s="73"/>
      <c r="C25" s="67"/>
      <c r="D25" s="73"/>
      <c r="E25" s="67"/>
      <c r="F25" s="67"/>
      <c r="K25" s="71"/>
      <c r="L25" s="67"/>
      <c r="M25" s="67"/>
      <c r="N25" s="67"/>
      <c r="O25" s="67"/>
      <c r="P25" s="69"/>
      <c r="Q25" s="74"/>
      <c r="X25"/>
      <c r="Y25"/>
      <c r="Z25"/>
      <c r="AB25"/>
      <c r="AG25"/>
      <c r="AH25"/>
    </row>
    <row r="26" spans="2:35">
      <c r="B26" s="73"/>
      <c r="C26" s="67"/>
      <c r="D26" s="73"/>
      <c r="E26" s="67"/>
      <c r="K26" s="71"/>
      <c r="L26" s="67"/>
      <c r="M26" s="67"/>
      <c r="N26" s="67"/>
      <c r="O26" s="67"/>
      <c r="P26" s="69"/>
      <c r="Q26" s="74"/>
      <c r="X26"/>
      <c r="Y26"/>
      <c r="Z26"/>
      <c r="AB26"/>
      <c r="AG26"/>
      <c r="AH26"/>
    </row>
    <row r="27" spans="2:35">
      <c r="B27" s="73"/>
      <c r="C27" s="67"/>
      <c r="D27" s="73"/>
      <c r="E27" s="67"/>
      <c r="K27" s="71"/>
      <c r="L27" s="67"/>
      <c r="M27" s="67"/>
      <c r="N27" s="67"/>
      <c r="O27" s="67"/>
      <c r="P27" s="69"/>
      <c r="Q27" s="74"/>
      <c r="X27"/>
      <c r="Y27"/>
      <c r="Z27"/>
      <c r="AB27"/>
      <c r="AG27"/>
      <c r="AH27"/>
    </row>
    <row r="28" spans="2:35">
      <c r="B28" s="73"/>
      <c r="C28" s="67"/>
      <c r="D28" s="73"/>
      <c r="E28" s="67"/>
      <c r="F28" s="67"/>
      <c r="K28" s="71"/>
      <c r="L28" s="67"/>
      <c r="M28" s="67"/>
      <c r="N28" s="67"/>
      <c r="O28" s="67"/>
      <c r="P28" s="69"/>
      <c r="Q28" s="74"/>
      <c r="X28"/>
      <c r="Y28"/>
      <c r="AB28"/>
      <c r="AG28"/>
      <c r="AH28"/>
    </row>
    <row r="29" spans="2:35">
      <c r="B29" s="73"/>
      <c r="C29" s="67"/>
      <c r="D29" s="73"/>
      <c r="E29" s="67"/>
      <c r="K29" s="71"/>
      <c r="L29" s="67"/>
      <c r="M29" s="67"/>
      <c r="N29" s="67"/>
      <c r="O29" s="67"/>
      <c r="P29" s="69"/>
      <c r="Q29" s="74"/>
      <c r="X29"/>
      <c r="Y29"/>
      <c r="AB29"/>
      <c r="AG29"/>
      <c r="AH29"/>
    </row>
    <row r="30" spans="2:35">
      <c r="B30" s="73"/>
      <c r="C30" s="67"/>
      <c r="D30" s="73"/>
      <c r="E30" s="67"/>
      <c r="K30" s="71"/>
      <c r="L30" s="67"/>
      <c r="M30" s="67"/>
      <c r="N30" s="67"/>
      <c r="O30" s="67"/>
      <c r="P30" s="69"/>
      <c r="Q30" s="74"/>
      <c r="X30"/>
      <c r="Y30"/>
      <c r="AB30"/>
      <c r="AG30"/>
      <c r="AH30"/>
    </row>
    <row r="31" spans="2:35">
      <c r="B31" s="73"/>
      <c r="C31" s="67"/>
      <c r="D31" s="73"/>
      <c r="E31" s="67"/>
      <c r="F31" s="67"/>
      <c r="K31" s="71"/>
      <c r="L31" s="67"/>
      <c r="M31" s="67"/>
      <c r="N31" s="67"/>
      <c r="O31" s="67"/>
      <c r="P31" s="69"/>
      <c r="Q31" s="74"/>
      <c r="X31"/>
      <c r="Y31"/>
      <c r="AB31"/>
      <c r="AG31"/>
      <c r="AH31"/>
    </row>
    <row r="32" spans="2:35">
      <c r="B32" s="73"/>
      <c r="C32" s="67"/>
      <c r="D32" s="73"/>
      <c r="E32" s="67"/>
      <c r="K32" s="71"/>
      <c r="L32" s="67"/>
      <c r="M32" s="67"/>
      <c r="N32" s="67"/>
      <c r="O32" s="67"/>
      <c r="P32" s="69"/>
      <c r="Q32" s="74"/>
      <c r="X32"/>
      <c r="Y32"/>
      <c r="AB32"/>
      <c r="AG32"/>
      <c r="AH32"/>
    </row>
    <row r="33" spans="2:34">
      <c r="B33" s="73"/>
      <c r="C33" s="67"/>
      <c r="D33" s="73"/>
      <c r="E33" s="67"/>
      <c r="K33" s="71"/>
      <c r="L33" s="67"/>
      <c r="M33" s="67"/>
      <c r="N33" s="67"/>
      <c r="O33" s="67"/>
      <c r="P33" s="69"/>
      <c r="Q33" s="74"/>
      <c r="X33"/>
      <c r="Y33"/>
      <c r="AB33"/>
      <c r="AG33"/>
      <c r="AH33"/>
    </row>
    <row r="34" spans="2:34">
      <c r="B34" s="73"/>
      <c r="D34" s="73"/>
      <c r="P34" s="69"/>
      <c r="Q34" s="74"/>
      <c r="X34"/>
      <c r="Y34"/>
      <c r="AB34"/>
      <c r="AG34"/>
      <c r="AH34"/>
    </row>
    <row r="35" spans="2:34">
      <c r="B35" s="73"/>
      <c r="D35" s="73"/>
      <c r="P35" s="69"/>
      <c r="Q35" s="74"/>
      <c r="X35"/>
      <c r="Y35"/>
      <c r="AB35"/>
      <c r="AG35"/>
      <c r="AH35"/>
    </row>
    <row r="36" spans="2:34">
      <c r="B36" s="73"/>
      <c r="D36" s="73"/>
      <c r="P36" s="72"/>
      <c r="Q36" s="74"/>
      <c r="X36"/>
      <c r="Y36"/>
      <c r="AB36"/>
      <c r="AG36"/>
      <c r="AH36"/>
    </row>
    <row r="37" spans="2:34">
      <c r="Q37" s="74"/>
      <c r="X37"/>
      <c r="Y37"/>
      <c r="AB37"/>
      <c r="AG37"/>
      <c r="AH37"/>
    </row>
    <row r="38" spans="2:34">
      <c r="Q38" s="74"/>
      <c r="X38"/>
      <c r="Y38"/>
      <c r="AB38"/>
      <c r="AG38"/>
      <c r="AH38"/>
    </row>
    <row r="39" spans="2:34">
      <c r="Q39" s="74"/>
      <c r="X39"/>
      <c r="Y39"/>
      <c r="AB39"/>
      <c r="AG39"/>
      <c r="AH39"/>
    </row>
    <row r="40" spans="2:34">
      <c r="Q40" s="74"/>
      <c r="X40"/>
      <c r="Y40"/>
      <c r="AB40"/>
      <c r="AG40"/>
      <c r="AH40"/>
    </row>
    <row r="41" spans="2:34">
      <c r="Q41" s="74"/>
      <c r="X41"/>
      <c r="Y41"/>
      <c r="AB41"/>
      <c r="AG41"/>
      <c r="AH41"/>
    </row>
    <row r="42" spans="2:34">
      <c r="Q42" s="74"/>
      <c r="X42"/>
      <c r="Y42"/>
      <c r="AB42"/>
      <c r="AG42"/>
      <c r="AH42"/>
    </row>
    <row r="43" spans="2:34">
      <c r="Q43" s="74"/>
      <c r="X43"/>
      <c r="Y43"/>
    </row>
    <row r="44" spans="2:34">
      <c r="Q44" s="74"/>
      <c r="X44"/>
      <c r="Y44"/>
    </row>
    <row r="45" spans="2:34">
      <c r="Q45" s="74"/>
      <c r="X45"/>
      <c r="Y45"/>
    </row>
    <row r="46" spans="2:34">
      <c r="Q46" s="74"/>
      <c r="X46"/>
      <c r="Y46"/>
    </row>
    <row r="47" spans="2:34">
      <c r="Q47" s="74"/>
      <c r="X47"/>
      <c r="Y47"/>
    </row>
    <row r="48" spans="2:34">
      <c r="Q48" s="74"/>
    </row>
    <row r="49" spans="17:17">
      <c r="Q49" s="74"/>
    </row>
    <row r="50" spans="17:17">
      <c r="Q50" s="74"/>
    </row>
    <row r="51" spans="17:17">
      <c r="Q51" s="74"/>
    </row>
    <row r="52" spans="17:17">
      <c r="Q52" s="74"/>
    </row>
    <row r="53" spans="17:17">
      <c r="Q53" s="74"/>
    </row>
    <row r="54" spans="17:17">
      <c r="Q54" s="74"/>
    </row>
    <row r="55" spans="17:17">
      <c r="Q55" s="74"/>
    </row>
    <row r="56" spans="17:17">
      <c r="Q56" s="74"/>
    </row>
    <row r="57" spans="17:17">
      <c r="Q57" s="74"/>
    </row>
    <row r="58" spans="17:17">
      <c r="Q58" s="74"/>
    </row>
    <row r="59" spans="17:17">
      <c r="Q59" s="74"/>
    </row>
    <row r="60" spans="17:17">
      <c r="Q60" s="74"/>
    </row>
    <row r="61" spans="17:17">
      <c r="Q61" s="74"/>
    </row>
    <row r="62" spans="17:17">
      <c r="Q62" s="74"/>
    </row>
    <row r="63" spans="17:17">
      <c r="Q63" s="74"/>
    </row>
    <row r="64" spans="17:17">
      <c r="Q64" s="74"/>
    </row>
    <row r="65" spans="17:17">
      <c r="Q65" s="74"/>
    </row>
    <row r="66" spans="17:17">
      <c r="Q66" s="74"/>
    </row>
    <row r="67" spans="17:17">
      <c r="Q67" s="74"/>
    </row>
    <row r="68" spans="17:17">
      <c r="Q68" s="74"/>
    </row>
    <row r="69" spans="17:17">
      <c r="Q69" s="74"/>
    </row>
    <row r="70" spans="17:17">
      <c r="Q70" s="74"/>
    </row>
    <row r="71" spans="17:17">
      <c r="Q71" s="74"/>
    </row>
    <row r="72" spans="17:17">
      <c r="Q72" s="74"/>
    </row>
    <row r="73" spans="17:17">
      <c r="Q73" s="74"/>
    </row>
    <row r="74" spans="17:17">
      <c r="Q74" s="74"/>
    </row>
    <row r="75" spans="17:17">
      <c r="Q75" s="74"/>
    </row>
    <row r="76" spans="17:17">
      <c r="Q76" s="74"/>
    </row>
    <row r="77" spans="17:17">
      <c r="Q77" s="74"/>
    </row>
    <row r="78" spans="17:17">
      <c r="Q78" s="74"/>
    </row>
    <row r="79" spans="17:17">
      <c r="Q79" s="74"/>
    </row>
    <row r="80" spans="17:17">
      <c r="Q80" s="74"/>
    </row>
    <row r="81" spans="17:17">
      <c r="Q81" s="74"/>
    </row>
    <row r="82" spans="17:17">
      <c r="Q82" s="74"/>
    </row>
    <row r="83" spans="17:17">
      <c r="Q83" s="74"/>
    </row>
    <row r="84" spans="17:17">
      <c r="Q84" s="74"/>
    </row>
    <row r="85" spans="17:17">
      <c r="Q85" s="74"/>
    </row>
    <row r="86" spans="17:17">
      <c r="Q86" s="74"/>
    </row>
    <row r="87" spans="17:17">
      <c r="Q87" s="74"/>
    </row>
    <row r="88" spans="17:17">
      <c r="Q88" s="74"/>
    </row>
    <row r="89" spans="17:17">
      <c r="Q89" s="74"/>
    </row>
    <row r="90" spans="17:17">
      <c r="Q90" s="74"/>
    </row>
    <row r="91" spans="17:17">
      <c r="Q91" s="74"/>
    </row>
    <row r="92" spans="17:17">
      <c r="Q92" s="74"/>
    </row>
    <row r="93" spans="17:17">
      <c r="Q93" s="74"/>
    </row>
    <row r="94" spans="17:17">
      <c r="Q94" s="74"/>
    </row>
    <row r="95" spans="17:17">
      <c r="Q95" s="74"/>
    </row>
    <row r="96" spans="17:17">
      <c r="Q96" s="7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Hotel</vt:lpstr>
      <vt:lpstr>Data</vt:lpstr>
      <vt:lpstr>Invoice</vt:lpstr>
      <vt:lpstr>Analysis</vt:lpstr>
      <vt:lpstr>Additional_Cost</vt:lpstr>
      <vt:lpstr>Advance</vt:lpstr>
      <vt:lpstr>Arrival</vt:lpstr>
      <vt:lpstr>Days</vt:lpstr>
      <vt:lpstr>Days_Cost</vt:lpstr>
      <vt:lpstr>Email_Id</vt:lpstr>
      <vt:lpstr>End</vt:lpstr>
      <vt:lpstr>Home_Address</vt:lpstr>
      <vt:lpstr>Identity_Proof</vt:lpstr>
      <vt:lpstr>Lastmodi</vt:lpstr>
      <vt:lpstr>Name</vt:lpstr>
      <vt:lpstr>Phone_Number</vt:lpstr>
      <vt:lpstr>Pincode</vt:lpstr>
      <vt:lpstr>RoomNo</vt:lpstr>
      <vt:lpstr>Status</vt:lpstr>
      <vt:lpstr>Total</vt:lpstr>
      <vt:lpstr>UpdateStatus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Avinash</dc:creator>
  <cp:lastModifiedBy>Shubham</cp:lastModifiedBy>
  <cp:lastPrinted>2021-10-09T16:21:33Z</cp:lastPrinted>
  <dcterms:created xsi:type="dcterms:W3CDTF">2021-10-08T08:41:44Z</dcterms:created>
  <dcterms:modified xsi:type="dcterms:W3CDTF">2022-09-21T16:30:37Z</dcterms:modified>
</cp:coreProperties>
</file>